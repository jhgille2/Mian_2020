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usda-soybean\Nextcloud\MIAN\2020 Mian\2020 Harvest info\2020 PLY Field Notes_Mian\"/>
    </mc:Choice>
  </mc:AlternateContent>
  <bookViews>
    <workbookView xWindow="-120" yWindow="-120" windowWidth="29040" windowHeight="1584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3" i="1"/>
  <c r="A2" i="1"/>
</calcChain>
</file>

<file path=xl/sharedStrings.xml><?xml version="1.0" encoding="utf-8"?>
<sst xmlns="http://schemas.openxmlformats.org/spreadsheetml/2006/main" count="756" uniqueCount="80">
  <si>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</si>
  <si>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</si>
  <si>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</si>
  <si>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</si>
  <si>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</si>
  <si>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</si>
  <si>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</si>
  <si>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</si>
  <si>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</si>
  <si>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</si>
  <si>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</si>
  <si>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</si>
  <si>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</si>
  <si>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</si>
  <si>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N19-0087</t>
  </si>
  <si>
    <t>Ply</t>
  </si>
  <si>
    <t>LP 5E</t>
  </si>
  <si>
    <t>Miller</t>
  </si>
  <si>
    <t>N19-0171</t>
  </si>
  <si>
    <t>N19-0042</t>
  </si>
  <si>
    <t>N19-0030</t>
  </si>
  <si>
    <t>N19-0004</t>
  </si>
  <si>
    <t>N19-0219</t>
  </si>
  <si>
    <t>N19-0102</t>
  </si>
  <si>
    <t>N19-0256</t>
  </si>
  <si>
    <t>N19-0280</t>
  </si>
  <si>
    <t>N16-601</t>
  </si>
  <si>
    <t>N19-0525</t>
  </si>
  <si>
    <t>N19-0117</t>
  </si>
  <si>
    <t>N19-0195</t>
  </si>
  <si>
    <t>N19-0079</t>
  </si>
  <si>
    <t>N19-0096</t>
  </si>
  <si>
    <t>N19-0034</t>
  </si>
  <si>
    <t>N19-0159</t>
  </si>
  <si>
    <t>N19-0208</t>
  </si>
  <si>
    <t>N19-0232</t>
  </si>
  <si>
    <t>N19-0095</t>
  </si>
  <si>
    <t>N19-1128</t>
  </si>
  <si>
    <t>N19-0060</t>
  </si>
  <si>
    <t>N19-0434</t>
  </si>
  <si>
    <t>N19-1103</t>
  </si>
  <si>
    <t>N19-0231</t>
  </si>
  <si>
    <t>N19-0174</t>
  </si>
  <si>
    <t>N19-0573</t>
  </si>
  <si>
    <t>N19-0493</t>
  </si>
  <si>
    <t>Osage</t>
  </si>
  <si>
    <t>N19-0006</t>
  </si>
  <si>
    <t>N19-0367</t>
  </si>
  <si>
    <t>N19-0212</t>
  </si>
  <si>
    <t>N19-0383</t>
  </si>
  <si>
    <t>Ellis</t>
  </si>
  <si>
    <t>N16-599</t>
  </si>
  <si>
    <t>N19-0255</t>
  </si>
  <si>
    <t>N19-0238</t>
  </si>
  <si>
    <t>N19-0167</t>
  </si>
  <si>
    <t>N19-0155</t>
  </si>
  <si>
    <t>N19-0148</t>
  </si>
  <si>
    <t>N19-0031</t>
  </si>
  <si>
    <t>N19-1097</t>
  </si>
  <si>
    <t>N19-0008</t>
  </si>
  <si>
    <t>N19-1455</t>
  </si>
  <si>
    <t>ID</t>
  </si>
  <si>
    <t>p</t>
  </si>
  <si>
    <t>w</t>
  </si>
  <si>
    <t>s</t>
  </si>
  <si>
    <t>det/indet</t>
  </si>
  <si>
    <t>g</t>
  </si>
  <si>
    <t>t</t>
  </si>
  <si>
    <t>lt</t>
  </si>
  <si>
    <t>semi</t>
  </si>
  <si>
    <t>d</t>
  </si>
  <si>
    <t>i</t>
  </si>
  <si>
    <t>SQ</t>
  </si>
  <si>
    <t>Note 1</t>
  </si>
  <si>
    <t>Note 2</t>
  </si>
  <si>
    <t>bushy</t>
  </si>
  <si>
    <t>gs</t>
  </si>
  <si>
    <t>contorted</t>
  </si>
  <si>
    <t>thin</t>
  </si>
  <si>
    <t>light 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</si>
</sst>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0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50"/>
  <sheetViews>
    <sheetView tabSelected="1" zoomScale="60" zoomScaleNormal="60" workbookViewId="0">
      <pane ySplit="1" topLeftCell="A2" activePane="bottomLeft" state="frozen"/>
      <selection pane="bottomLeft" activeCell="W8" sqref="W8"/>
    </sheetView>
  </sheetViews>
  <sheetFormatPr defaultColWidth="9.42578125" defaultRowHeight="12.75" x14ac:dyDescent="0.25"/>
  <cols>
    <col min="1" max="1" width="31.42578125" style="1" customWidth="1"/>
    <col min="2" max="2" width="11.85546875" style="1" customWidth="1"/>
    <col min="3" max="3" width="4.5703125" style="1" customWidth="1"/>
    <col min="4" max="4" width="5.140625" style="1" customWidth="1"/>
    <col min="5" max="5" width="4.5703125" style="1" customWidth="1"/>
    <col min="6" max="7" width="5.85546875" style="1" customWidth="1"/>
    <col min="8" max="8" width="10.7109375" style="4" customWidth="1"/>
    <col min="9" max="9" width="7.7109375" style="1" customWidth="1"/>
    <col min="10" max="14" width="5.85546875" style="1" customWidth="1"/>
    <col min="15" max="15" width="10.140625" style="1" customWidth="1"/>
    <col min="16" max="16" width="9.140625" style="1" customWidth="1"/>
    <col min="17" max="18" width="11.7109375" style="1" customWidth="1"/>
    <col min="19" max="16384" width="9.42578125" style="1"/>
  </cols>
  <sheetData>
    <row r="1" spans="1:19" ht="17.25" customHeight="1" x14ac:dyDescent="0.25">
      <c r="A1" s="1" t="s">
        <v>61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4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72</v>
      </c>
      <c r="Q1" s="1" t="s">
        <v>73</v>
      </c>
      <c r="R1" s="1" t="s">
        <v>74</v>
      </c>
      <c r="S1" s="1" t="s">
        <v>65</v>
      </c>
    </row>
    <row r="2" spans="1:19" ht="17.25" customHeight="1" x14ac:dyDescent="0.2">
      <c r="A2" s="2" t="str">
        <f t="shared" ref="A2:A33" si="0">CONCATENATE(H2,"*",B2,"*",D2,"*",C2,"*",E2,"*",G2)</f>
        <v>1*N19-0087*LP 5E*Ply*2020*10</v>
      </c>
      <c r="B2" s="1" t="s">
        <v>14</v>
      </c>
      <c r="C2" s="1" t="s">
        <v>15</v>
      </c>
      <c r="D2" s="1" t="s">
        <v>16</v>
      </c>
      <c r="E2" s="1">
        <v>2020</v>
      </c>
      <c r="F2" s="1">
        <v>1</v>
      </c>
      <c r="G2" s="1">
        <v>10</v>
      </c>
      <c r="H2" s="4">
        <v>1</v>
      </c>
      <c r="I2" s="1" t="s">
        <v>62</v>
      </c>
      <c r="J2" s="1">
        <v>36</v>
      </c>
      <c r="K2" s="1" t="s">
        <v>66</v>
      </c>
      <c r="L2" s="1">
        <v>2</v>
      </c>
      <c r="M2" s="1">
        <v>38</v>
      </c>
      <c r="N2" s="1">
        <v>1064.0999999999999</v>
      </c>
      <c r="O2" s="1">
        <v>12.1</v>
      </c>
      <c r="R2" s="1" t="s">
        <v>75</v>
      </c>
      <c r="S2" s="1" t="s">
        <v>69</v>
      </c>
    </row>
    <row r="3" spans="1:19" ht="17.25" customHeight="1" x14ac:dyDescent="0.2">
      <c r="A3" s="2" t="str">
        <f t="shared" si="0"/>
        <v>2*Miller*LP 5E*Ply*2020*43</v>
      </c>
      <c r="B3" s="1" t="s">
        <v>17</v>
      </c>
      <c r="C3" s="1" t="s">
        <v>15</v>
      </c>
      <c r="D3" s="1" t="s">
        <v>16</v>
      </c>
      <c r="E3" s="1">
        <v>2020</v>
      </c>
      <c r="F3" s="1">
        <v>1</v>
      </c>
      <c r="G3" s="1">
        <v>43</v>
      </c>
      <c r="H3" s="4">
        <v>2</v>
      </c>
      <c r="I3" s="1" t="s">
        <v>62</v>
      </c>
      <c r="J3" s="1">
        <v>43</v>
      </c>
      <c r="K3" s="1" t="s">
        <v>66</v>
      </c>
      <c r="L3" s="1">
        <v>1</v>
      </c>
      <c r="M3" s="1">
        <v>20</v>
      </c>
      <c r="N3" s="1">
        <v>904.4</v>
      </c>
      <c r="O3" s="1">
        <v>14.2</v>
      </c>
      <c r="S3" s="1" t="s">
        <v>70</v>
      </c>
    </row>
    <row r="4" spans="1:19" ht="17.25" customHeight="1" x14ac:dyDescent="0.2">
      <c r="A4" s="2" t="str">
        <f t="shared" si="0"/>
        <v>3*N19-0171*LP 5E*Ply*2020*19</v>
      </c>
      <c r="B4" s="1" t="s">
        <v>18</v>
      </c>
      <c r="C4" s="1" t="s">
        <v>15</v>
      </c>
      <c r="D4" s="1" t="s">
        <v>16</v>
      </c>
      <c r="E4" s="1">
        <v>2020</v>
      </c>
      <c r="F4" s="1">
        <v>1</v>
      </c>
      <c r="G4" s="1">
        <v>19</v>
      </c>
      <c r="H4" s="4">
        <v>3</v>
      </c>
      <c r="I4" s="1" t="s">
        <v>63</v>
      </c>
      <c r="J4" s="1">
        <v>38</v>
      </c>
      <c r="K4" s="1" t="s">
        <v>66</v>
      </c>
      <c r="L4" s="1">
        <v>1.5</v>
      </c>
      <c r="M4" s="1">
        <v>16</v>
      </c>
      <c r="N4" s="1">
        <v>583.4</v>
      </c>
      <c r="O4" s="1">
        <v>14.8</v>
      </c>
      <c r="S4" s="1" t="s">
        <v>70</v>
      </c>
    </row>
    <row r="5" spans="1:19" ht="17.25" customHeight="1" x14ac:dyDescent="0.2">
      <c r="A5" s="3" t="str">
        <f t="shared" si="0"/>
        <v>4*N19-0042*LP 5E*Ply*2020*7</v>
      </c>
      <c r="B5" s="1" t="s">
        <v>19</v>
      </c>
      <c r="C5" s="1" t="s">
        <v>15</v>
      </c>
      <c r="D5" s="1" t="s">
        <v>16</v>
      </c>
      <c r="E5" s="1">
        <v>2020</v>
      </c>
      <c r="F5" s="1">
        <v>1</v>
      </c>
      <c r="G5" s="1">
        <v>7</v>
      </c>
      <c r="H5" s="4">
        <v>4</v>
      </c>
      <c r="I5" s="1" t="s">
        <v>63</v>
      </c>
      <c r="J5" s="1">
        <v>36</v>
      </c>
      <c r="K5" s="1" t="s">
        <v>66</v>
      </c>
      <c r="L5" s="1">
        <v>1</v>
      </c>
      <c r="M5" s="1">
        <v>14</v>
      </c>
      <c r="N5" s="1">
        <v>483.5</v>
      </c>
      <c r="O5" s="1">
        <v>11.3</v>
      </c>
      <c r="S5" s="1" t="s">
        <v>70</v>
      </c>
    </row>
    <row r="6" spans="1:19" ht="17.25" customHeight="1" x14ac:dyDescent="0.2">
      <c r="A6" s="2" t="str">
        <f t="shared" si="0"/>
        <v>5*N19-0030*LP 5E*Ply*2020*4</v>
      </c>
      <c r="B6" s="1" t="s">
        <v>20</v>
      </c>
      <c r="C6" s="1" t="s">
        <v>15</v>
      </c>
      <c r="D6" s="1" t="s">
        <v>16</v>
      </c>
      <c r="E6" s="1">
        <v>2020</v>
      </c>
      <c r="F6" s="1">
        <v>1</v>
      </c>
      <c r="G6" s="1">
        <v>4</v>
      </c>
      <c r="H6" s="4">
        <v>5</v>
      </c>
      <c r="I6" s="1" t="s">
        <v>63</v>
      </c>
      <c r="J6" s="1">
        <v>52</v>
      </c>
      <c r="K6" s="1" t="s">
        <v>67</v>
      </c>
      <c r="L6" s="1">
        <v>1.5</v>
      </c>
      <c r="M6" s="1">
        <v>22</v>
      </c>
      <c r="N6" s="1">
        <v>780.7</v>
      </c>
      <c r="O6" s="1">
        <v>14.2</v>
      </c>
      <c r="S6" s="1" t="s">
        <v>70</v>
      </c>
    </row>
    <row r="7" spans="1:19" ht="17.25" customHeight="1" x14ac:dyDescent="0.2">
      <c r="A7" s="2" t="str">
        <f t="shared" si="0"/>
        <v>6*N19-0004*LP 5E*Ply*2020*1</v>
      </c>
      <c r="B7" s="1" t="s">
        <v>21</v>
      </c>
      <c r="C7" s="1" t="s">
        <v>15</v>
      </c>
      <c r="D7" s="1" t="s">
        <v>16</v>
      </c>
      <c r="E7" s="1">
        <v>2020</v>
      </c>
      <c r="F7" s="1">
        <v>1</v>
      </c>
      <c r="G7" s="1">
        <v>1</v>
      </c>
      <c r="H7" s="4">
        <v>6</v>
      </c>
      <c r="I7" s="1" t="s">
        <v>62</v>
      </c>
      <c r="J7" s="1">
        <v>46</v>
      </c>
      <c r="K7" s="1" t="s">
        <v>67</v>
      </c>
      <c r="L7" s="1">
        <v>2</v>
      </c>
      <c r="M7" s="1">
        <v>28</v>
      </c>
      <c r="N7" s="1">
        <v>689.9</v>
      </c>
      <c r="O7" s="1">
        <v>13</v>
      </c>
      <c r="S7" s="1" t="s">
        <v>69</v>
      </c>
    </row>
    <row r="8" spans="1:19" ht="17.25" customHeight="1" x14ac:dyDescent="0.2">
      <c r="A8" s="2" t="str">
        <f t="shared" si="0"/>
        <v>7*N19-0219*LP 5E*Ply*2020*24</v>
      </c>
      <c r="B8" s="1" t="s">
        <v>22</v>
      </c>
      <c r="C8" s="1" t="s">
        <v>15</v>
      </c>
      <c r="D8" s="1" t="s">
        <v>16</v>
      </c>
      <c r="E8" s="1">
        <v>2020</v>
      </c>
      <c r="F8" s="1">
        <v>1</v>
      </c>
      <c r="G8" s="1">
        <v>24</v>
      </c>
      <c r="H8" s="4">
        <v>7</v>
      </c>
      <c r="I8" s="1" t="s">
        <v>62</v>
      </c>
      <c r="J8" s="1">
        <v>54</v>
      </c>
      <c r="K8" s="1" t="s">
        <v>66</v>
      </c>
      <c r="L8" s="1">
        <v>1.5</v>
      </c>
      <c r="M8" s="1">
        <v>20</v>
      </c>
      <c r="N8" s="1">
        <v>896.6</v>
      </c>
      <c r="O8" s="1">
        <v>13.3</v>
      </c>
      <c r="S8" s="1" t="s">
        <v>70</v>
      </c>
    </row>
    <row r="9" spans="1:19" ht="17.25" customHeight="1" x14ac:dyDescent="0.2">
      <c r="A9" s="2" t="str">
        <f t="shared" si="0"/>
        <v>8*N19-0102*LP 5E*Ply*2020*13</v>
      </c>
      <c r="B9" s="1" t="s">
        <v>23</v>
      </c>
      <c r="C9" s="1" t="s">
        <v>15</v>
      </c>
      <c r="D9" s="1" t="s">
        <v>16</v>
      </c>
      <c r="E9" s="1">
        <v>2020</v>
      </c>
      <c r="F9" s="1">
        <v>1</v>
      </c>
      <c r="G9" s="1">
        <v>13</v>
      </c>
      <c r="H9" s="4">
        <v>8</v>
      </c>
      <c r="I9" s="1" t="s">
        <v>64</v>
      </c>
      <c r="J9" s="1">
        <v>41</v>
      </c>
      <c r="K9" s="1" t="s">
        <v>68</v>
      </c>
      <c r="L9" s="1">
        <v>2</v>
      </c>
      <c r="M9" s="1">
        <v>18</v>
      </c>
      <c r="N9" s="1">
        <v>877.7</v>
      </c>
      <c r="O9" s="1">
        <v>13.6</v>
      </c>
      <c r="S9" s="1" t="s">
        <v>70</v>
      </c>
    </row>
    <row r="10" spans="1:19" ht="17.25" customHeight="1" x14ac:dyDescent="0.2">
      <c r="A10" s="2" t="str">
        <f t="shared" si="0"/>
        <v>9*N19-0256*LP 5E*Ply*2020*29</v>
      </c>
      <c r="B10" s="1" t="s">
        <v>24</v>
      </c>
      <c r="C10" s="1" t="s">
        <v>15</v>
      </c>
      <c r="D10" s="1" t="s">
        <v>16</v>
      </c>
      <c r="E10" s="1">
        <v>2020</v>
      </c>
      <c r="F10" s="1">
        <v>1</v>
      </c>
      <c r="G10" s="1">
        <v>29</v>
      </c>
      <c r="H10" s="4">
        <v>9</v>
      </c>
      <c r="I10" s="1" t="s">
        <v>63</v>
      </c>
      <c r="J10" s="1">
        <v>45</v>
      </c>
      <c r="K10" s="1" t="s">
        <v>66</v>
      </c>
      <c r="L10" s="1">
        <v>1.5</v>
      </c>
      <c r="M10" s="1">
        <v>24</v>
      </c>
      <c r="N10" s="1">
        <v>976</v>
      </c>
      <c r="O10" s="1">
        <v>11.9</v>
      </c>
      <c r="S10" s="1" t="s">
        <v>70</v>
      </c>
    </row>
    <row r="11" spans="1:19" ht="17.25" customHeight="1" x14ac:dyDescent="0.2">
      <c r="A11" s="2" t="str">
        <f t="shared" si="0"/>
        <v>10*N19-0280*LP 5E*Ply*2020*30</v>
      </c>
      <c r="B11" s="1" t="s">
        <v>25</v>
      </c>
      <c r="C11" s="1" t="s">
        <v>15</v>
      </c>
      <c r="D11" s="1" t="s">
        <v>16</v>
      </c>
      <c r="E11" s="1">
        <v>2020</v>
      </c>
      <c r="F11" s="1">
        <v>1</v>
      </c>
      <c r="G11" s="1">
        <v>30</v>
      </c>
      <c r="H11" s="4">
        <v>10</v>
      </c>
      <c r="I11" s="1" t="s">
        <v>63</v>
      </c>
      <c r="J11" s="1">
        <v>45</v>
      </c>
      <c r="K11" s="1" t="s">
        <v>68</v>
      </c>
      <c r="L11" s="1">
        <v>1.5</v>
      </c>
      <c r="M11" s="1">
        <v>24</v>
      </c>
      <c r="N11" s="1">
        <v>920</v>
      </c>
      <c r="O11" s="1">
        <v>14.6</v>
      </c>
      <c r="S11" s="1" t="s">
        <v>70</v>
      </c>
    </row>
    <row r="12" spans="1:19" ht="17.25" customHeight="1" x14ac:dyDescent="0.2">
      <c r="A12" s="2" t="str">
        <f t="shared" si="0"/>
        <v>11*N16-601*LP 5E*Ply*2020*44</v>
      </c>
      <c r="B12" s="1" t="s">
        <v>26</v>
      </c>
      <c r="C12" s="1" t="s">
        <v>15</v>
      </c>
      <c r="D12" s="1" t="s">
        <v>16</v>
      </c>
      <c r="E12" s="1">
        <v>2020</v>
      </c>
      <c r="F12" s="1">
        <v>1</v>
      </c>
      <c r="G12" s="1">
        <v>44</v>
      </c>
      <c r="H12" s="4">
        <v>11</v>
      </c>
      <c r="I12" s="1" t="s">
        <v>62</v>
      </c>
      <c r="J12" s="1">
        <v>45</v>
      </c>
      <c r="K12" s="1" t="s">
        <v>66</v>
      </c>
      <c r="L12" s="1">
        <v>1.5</v>
      </c>
      <c r="M12" s="1">
        <v>22</v>
      </c>
      <c r="N12" s="1">
        <v>1363.5</v>
      </c>
      <c r="O12" s="1">
        <v>12.4</v>
      </c>
      <c r="S12" s="1" t="s">
        <v>70</v>
      </c>
    </row>
    <row r="13" spans="1:19" ht="17.25" customHeight="1" x14ac:dyDescent="0.2">
      <c r="A13" s="2" t="str">
        <f t="shared" si="0"/>
        <v>12*N19-0525*LP 5E*Ply*2020*35</v>
      </c>
      <c r="B13" s="1" t="s">
        <v>27</v>
      </c>
      <c r="C13" s="1" t="s">
        <v>15</v>
      </c>
      <c r="D13" s="1" t="s">
        <v>16</v>
      </c>
      <c r="E13" s="1">
        <v>2020</v>
      </c>
      <c r="F13" s="1">
        <v>1</v>
      </c>
      <c r="G13" s="1">
        <v>35</v>
      </c>
      <c r="H13" s="4">
        <v>12</v>
      </c>
      <c r="I13" s="1" t="s">
        <v>63</v>
      </c>
      <c r="J13" s="1">
        <v>45</v>
      </c>
      <c r="K13" s="1" t="s">
        <v>67</v>
      </c>
      <c r="L13" s="1">
        <v>1</v>
      </c>
      <c r="M13" s="1">
        <v>22</v>
      </c>
      <c r="N13" s="1">
        <v>1215.5</v>
      </c>
      <c r="O13" s="1">
        <v>15</v>
      </c>
      <c r="S13" s="1" t="s">
        <v>70</v>
      </c>
    </row>
    <row r="14" spans="1:19" ht="17.25" customHeight="1" x14ac:dyDescent="0.2">
      <c r="A14" s="2" t="str">
        <f t="shared" si="0"/>
        <v>13*N19-0117*LP 5E*Ply*2020*14</v>
      </c>
      <c r="B14" s="1" t="s">
        <v>28</v>
      </c>
      <c r="C14" s="1" t="s">
        <v>15</v>
      </c>
      <c r="D14" s="1" t="s">
        <v>16</v>
      </c>
      <c r="E14" s="1">
        <v>2020</v>
      </c>
      <c r="F14" s="1">
        <v>1</v>
      </c>
      <c r="G14" s="1">
        <v>14</v>
      </c>
      <c r="H14" s="4">
        <v>13</v>
      </c>
      <c r="I14" s="1" t="s">
        <v>62</v>
      </c>
      <c r="J14" s="1">
        <v>53</v>
      </c>
      <c r="K14" s="1" t="s">
        <v>67</v>
      </c>
      <c r="L14" s="1">
        <v>1.5</v>
      </c>
      <c r="M14" s="1">
        <v>24</v>
      </c>
      <c r="N14" s="1">
        <v>855.1</v>
      </c>
      <c r="O14" s="1">
        <v>12.3</v>
      </c>
      <c r="S14" s="1" t="s">
        <v>70</v>
      </c>
    </row>
    <row r="15" spans="1:19" ht="17.25" customHeight="1" x14ac:dyDescent="0.2">
      <c r="A15" s="2" t="str">
        <f t="shared" si="0"/>
        <v>14*N19-0195*LP 5E*Ply*2020*21</v>
      </c>
      <c r="B15" s="1" t="s">
        <v>29</v>
      </c>
      <c r="C15" s="1" t="s">
        <v>15</v>
      </c>
      <c r="D15" s="1" t="s">
        <v>16</v>
      </c>
      <c r="E15" s="1">
        <v>2020</v>
      </c>
      <c r="F15" s="1">
        <v>1</v>
      </c>
      <c r="G15" s="1">
        <v>21</v>
      </c>
      <c r="H15" s="4">
        <v>14</v>
      </c>
      <c r="I15" s="1" t="s">
        <v>63</v>
      </c>
      <c r="J15" s="1">
        <v>36</v>
      </c>
      <c r="K15" s="1" t="s">
        <v>68</v>
      </c>
      <c r="L15" s="1">
        <v>1.5</v>
      </c>
      <c r="M15" s="1">
        <v>21</v>
      </c>
      <c r="N15" s="1">
        <v>866.2</v>
      </c>
      <c r="O15" s="1">
        <v>14.4</v>
      </c>
      <c r="S15" s="1" t="s">
        <v>70</v>
      </c>
    </row>
    <row r="16" spans="1:19" ht="17.25" customHeight="1" x14ac:dyDescent="0.2">
      <c r="A16" s="2" t="str">
        <f t="shared" si="0"/>
        <v>15*N19-0079*LP 5E*Ply*2020*9</v>
      </c>
      <c r="B16" s="1" t="s">
        <v>30</v>
      </c>
      <c r="C16" s="1" t="s">
        <v>15</v>
      </c>
      <c r="D16" s="1" t="s">
        <v>16</v>
      </c>
      <c r="E16" s="1">
        <v>2020</v>
      </c>
      <c r="F16" s="1">
        <v>1</v>
      </c>
      <c r="G16" s="1">
        <v>9</v>
      </c>
      <c r="H16" s="4">
        <v>15</v>
      </c>
      <c r="I16" s="1" t="s">
        <v>62</v>
      </c>
      <c r="J16" s="1">
        <v>60</v>
      </c>
      <c r="K16" s="1" t="s">
        <v>67</v>
      </c>
      <c r="L16" s="1">
        <v>2</v>
      </c>
      <c r="M16" s="1">
        <v>42</v>
      </c>
      <c r="N16" s="1">
        <v>856.2</v>
      </c>
      <c r="O16" s="1">
        <v>14.2</v>
      </c>
      <c r="Q16" s="1" t="s">
        <v>76</v>
      </c>
      <c r="R16" s="1" t="s">
        <v>77</v>
      </c>
      <c r="S16" s="1" t="s">
        <v>71</v>
      </c>
    </row>
    <row r="17" spans="1:19" ht="17.25" customHeight="1" x14ac:dyDescent="0.2">
      <c r="A17" s="2" t="str">
        <f t="shared" si="0"/>
        <v>16*N19-0096*LP 5E*Ply*2020*12</v>
      </c>
      <c r="B17" s="1" t="s">
        <v>31</v>
      </c>
      <c r="C17" s="1" t="s">
        <v>15</v>
      </c>
      <c r="D17" s="1" t="s">
        <v>16</v>
      </c>
      <c r="E17" s="1">
        <v>2020</v>
      </c>
      <c r="F17" s="1">
        <v>1</v>
      </c>
      <c r="G17" s="1">
        <v>12</v>
      </c>
      <c r="H17" s="4">
        <v>16</v>
      </c>
      <c r="I17" s="1" t="s">
        <v>64</v>
      </c>
      <c r="J17" s="1">
        <v>44</v>
      </c>
      <c r="K17" s="1" t="s">
        <v>68</v>
      </c>
      <c r="L17" s="1">
        <v>1</v>
      </c>
      <c r="M17" s="1">
        <v>22</v>
      </c>
      <c r="N17" s="1">
        <v>754.1</v>
      </c>
      <c r="O17" s="1">
        <v>11.5</v>
      </c>
      <c r="S17" s="1" t="s">
        <v>70</v>
      </c>
    </row>
    <row r="18" spans="1:19" ht="17.25" customHeight="1" x14ac:dyDescent="0.2">
      <c r="A18" s="2" t="str">
        <f t="shared" si="0"/>
        <v>17*N19-0034*LP 5E*Ply*2020*6</v>
      </c>
      <c r="B18" s="1" t="s">
        <v>32</v>
      </c>
      <c r="C18" s="1" t="s">
        <v>15</v>
      </c>
      <c r="D18" s="1" t="s">
        <v>16</v>
      </c>
      <c r="E18" s="1">
        <v>2020</v>
      </c>
      <c r="F18" s="1">
        <v>1</v>
      </c>
      <c r="G18" s="1">
        <v>6</v>
      </c>
      <c r="H18" s="4">
        <v>17</v>
      </c>
      <c r="I18" s="1" t="s">
        <v>64</v>
      </c>
      <c r="J18" s="1">
        <v>45</v>
      </c>
      <c r="K18" s="1" t="s">
        <v>67</v>
      </c>
      <c r="L18" s="1">
        <v>1.5</v>
      </c>
      <c r="M18" s="1">
        <v>18</v>
      </c>
      <c r="N18" s="1">
        <v>1099</v>
      </c>
      <c r="O18" s="1">
        <v>14.7</v>
      </c>
      <c r="S18" s="1" t="s">
        <v>70</v>
      </c>
    </row>
    <row r="19" spans="1:19" ht="17.25" customHeight="1" x14ac:dyDescent="0.2">
      <c r="A19" s="2" t="str">
        <f t="shared" si="0"/>
        <v>18*N19-0159*LP 5E*Ply*2020*17</v>
      </c>
      <c r="B19" s="1" t="s">
        <v>33</v>
      </c>
      <c r="C19" s="1" t="s">
        <v>15</v>
      </c>
      <c r="D19" s="1" t="s">
        <v>16</v>
      </c>
      <c r="E19" s="1">
        <v>2020</v>
      </c>
      <c r="F19" s="1">
        <v>1</v>
      </c>
      <c r="G19" s="1">
        <v>17</v>
      </c>
      <c r="H19" s="4">
        <v>18</v>
      </c>
      <c r="I19" s="1" t="s">
        <v>63</v>
      </c>
      <c r="J19" s="1">
        <v>53</v>
      </c>
      <c r="K19" s="1" t="s">
        <v>67</v>
      </c>
      <c r="L19" s="1">
        <v>1.5</v>
      </c>
      <c r="M19" s="1">
        <v>24</v>
      </c>
      <c r="N19" s="1">
        <v>1093.5</v>
      </c>
      <c r="O19" s="1">
        <v>13</v>
      </c>
      <c r="S19" s="1" t="s">
        <v>70</v>
      </c>
    </row>
    <row r="20" spans="1:19" ht="17.25" customHeight="1" x14ac:dyDescent="0.2">
      <c r="A20" s="2" t="str">
        <f t="shared" si="0"/>
        <v>19*N19-0208*LP 5E*Ply*2020*22</v>
      </c>
      <c r="B20" s="1" t="s">
        <v>34</v>
      </c>
      <c r="C20" s="1" t="s">
        <v>15</v>
      </c>
      <c r="D20" s="1" t="s">
        <v>16</v>
      </c>
      <c r="E20" s="1">
        <v>2020</v>
      </c>
      <c r="F20" s="1">
        <v>1</v>
      </c>
      <c r="G20" s="1">
        <v>22</v>
      </c>
      <c r="H20" s="4">
        <v>19</v>
      </c>
      <c r="I20" s="1" t="s">
        <v>62</v>
      </c>
      <c r="J20" s="1">
        <v>47</v>
      </c>
      <c r="K20" s="1" t="s">
        <v>67</v>
      </c>
      <c r="L20" s="1">
        <v>2</v>
      </c>
      <c r="M20" s="1">
        <v>48</v>
      </c>
      <c r="N20" s="1">
        <v>1348.1</v>
      </c>
      <c r="O20" s="1">
        <v>15.8</v>
      </c>
      <c r="S20" s="1" t="s">
        <v>71</v>
      </c>
    </row>
    <row r="21" spans="1:19" ht="17.25" customHeight="1" x14ac:dyDescent="0.2">
      <c r="A21" s="2" t="str">
        <f t="shared" si="0"/>
        <v>20*N19-0232*LP 5E*Ply*2020*26</v>
      </c>
      <c r="B21" s="1" t="s">
        <v>35</v>
      </c>
      <c r="C21" s="1" t="s">
        <v>15</v>
      </c>
      <c r="D21" s="1" t="s">
        <v>16</v>
      </c>
      <c r="E21" s="1">
        <v>2020</v>
      </c>
      <c r="F21" s="1">
        <v>1</v>
      </c>
      <c r="G21" s="1">
        <v>26</v>
      </c>
      <c r="H21" s="4">
        <v>20</v>
      </c>
      <c r="I21" s="1" t="s">
        <v>63</v>
      </c>
      <c r="J21" s="1">
        <v>48</v>
      </c>
      <c r="K21" s="1" t="s">
        <v>67</v>
      </c>
      <c r="L21" s="1">
        <v>1.5</v>
      </c>
      <c r="M21" s="1">
        <v>26</v>
      </c>
      <c r="N21" s="1">
        <v>1187.5</v>
      </c>
      <c r="O21" s="1">
        <v>12.9</v>
      </c>
      <c r="S21" s="1" t="s">
        <v>70</v>
      </c>
    </row>
    <row r="22" spans="1:19" ht="17.25" customHeight="1" x14ac:dyDescent="0.2">
      <c r="A22" s="2" t="str">
        <f t="shared" si="0"/>
        <v>21*N19-0095*LP 5E*Ply*2020*11</v>
      </c>
      <c r="B22" s="1" t="s">
        <v>36</v>
      </c>
      <c r="C22" s="1" t="s">
        <v>15</v>
      </c>
      <c r="D22" s="1" t="s">
        <v>16</v>
      </c>
      <c r="E22" s="1">
        <v>2020</v>
      </c>
      <c r="F22" s="1">
        <v>1</v>
      </c>
      <c r="G22" s="1">
        <v>11</v>
      </c>
      <c r="H22" s="4">
        <v>21</v>
      </c>
      <c r="I22" s="1" t="s">
        <v>63</v>
      </c>
      <c r="J22" s="1">
        <v>41</v>
      </c>
      <c r="K22" s="1" t="s">
        <v>68</v>
      </c>
      <c r="L22" s="1">
        <v>1.5</v>
      </c>
      <c r="M22" s="1">
        <v>28</v>
      </c>
      <c r="N22" s="1">
        <v>1198.9000000000001</v>
      </c>
      <c r="O22" s="1">
        <v>12.7</v>
      </c>
      <c r="S22" s="1" t="s">
        <v>70</v>
      </c>
    </row>
    <row r="23" spans="1:19" ht="17.25" customHeight="1" x14ac:dyDescent="0.2">
      <c r="A23" s="2" t="str">
        <f t="shared" si="0"/>
        <v>22*N19-1128*LP 5E*Ply*2020*39</v>
      </c>
      <c r="B23" s="1" t="s">
        <v>37</v>
      </c>
      <c r="C23" s="1" t="s">
        <v>15</v>
      </c>
      <c r="D23" s="1" t="s">
        <v>16</v>
      </c>
      <c r="E23" s="1">
        <v>2020</v>
      </c>
      <c r="F23" s="1">
        <v>1</v>
      </c>
      <c r="G23" s="1">
        <v>39</v>
      </c>
      <c r="H23" s="4">
        <v>22</v>
      </c>
      <c r="I23" s="1" t="s">
        <v>62</v>
      </c>
      <c r="J23" s="1">
        <v>44</v>
      </c>
      <c r="K23" s="1" t="s">
        <v>67</v>
      </c>
      <c r="L23" s="1">
        <v>2</v>
      </c>
      <c r="M23" s="1">
        <v>31</v>
      </c>
      <c r="N23" s="1">
        <v>1530.8</v>
      </c>
      <c r="O23" s="1">
        <v>14.2</v>
      </c>
      <c r="S23" s="1" t="s">
        <v>70</v>
      </c>
    </row>
    <row r="24" spans="1:19" ht="17.25" customHeight="1" x14ac:dyDescent="0.2">
      <c r="A24" s="2" t="str">
        <f t="shared" si="0"/>
        <v>23*N19-0060*LP 5E*Ply*2020*8</v>
      </c>
      <c r="B24" s="1" t="s">
        <v>38</v>
      </c>
      <c r="C24" s="1" t="s">
        <v>15</v>
      </c>
      <c r="D24" s="1" t="s">
        <v>16</v>
      </c>
      <c r="E24" s="1">
        <v>2020</v>
      </c>
      <c r="F24" s="1">
        <v>1</v>
      </c>
      <c r="G24" s="1">
        <v>8</v>
      </c>
      <c r="H24" s="4">
        <v>23</v>
      </c>
      <c r="I24" s="1" t="s">
        <v>62</v>
      </c>
      <c r="J24" s="1">
        <v>45</v>
      </c>
      <c r="K24" s="1" t="s">
        <v>66</v>
      </c>
      <c r="L24" s="1">
        <v>1.5</v>
      </c>
      <c r="M24" s="1">
        <v>24</v>
      </c>
      <c r="N24" s="1">
        <v>706.6</v>
      </c>
      <c r="O24" s="1">
        <v>14.7</v>
      </c>
      <c r="S24" s="1" t="s">
        <v>70</v>
      </c>
    </row>
    <row r="25" spans="1:19" ht="17.25" customHeight="1" x14ac:dyDescent="0.2">
      <c r="A25" s="2" t="str">
        <f t="shared" si="0"/>
        <v>24*N19-0434*LP 5E*Ply*2020*33</v>
      </c>
      <c r="B25" s="1" t="s">
        <v>39</v>
      </c>
      <c r="C25" s="1" t="s">
        <v>15</v>
      </c>
      <c r="D25" s="1" t="s">
        <v>16</v>
      </c>
      <c r="E25" s="1">
        <v>2020</v>
      </c>
      <c r="F25" s="1">
        <v>1</v>
      </c>
      <c r="G25" s="1">
        <v>33</v>
      </c>
      <c r="H25" s="4">
        <v>24</v>
      </c>
      <c r="I25" s="1" t="s">
        <v>63</v>
      </c>
      <c r="J25" s="1">
        <v>41</v>
      </c>
      <c r="K25" s="1" t="s">
        <v>68</v>
      </c>
      <c r="L25" s="1">
        <v>1.5</v>
      </c>
      <c r="M25" s="1">
        <v>23</v>
      </c>
      <c r="N25" s="1">
        <v>1071.8</v>
      </c>
      <c r="O25" s="1">
        <v>12.2</v>
      </c>
      <c r="S25" s="1" t="s">
        <v>70</v>
      </c>
    </row>
    <row r="26" spans="1:19" ht="17.25" customHeight="1" x14ac:dyDescent="0.2">
      <c r="A26" s="2" t="str">
        <f t="shared" si="0"/>
        <v>25*N19-1103*LP 5E*Ply*2020*38</v>
      </c>
      <c r="B26" s="1" t="s">
        <v>40</v>
      </c>
      <c r="C26" s="1" t="s">
        <v>15</v>
      </c>
      <c r="D26" s="1" t="s">
        <v>16</v>
      </c>
      <c r="E26" s="1">
        <v>2020</v>
      </c>
      <c r="F26" s="1">
        <v>1</v>
      </c>
      <c r="G26" s="1">
        <v>38</v>
      </c>
      <c r="H26" s="4">
        <v>25</v>
      </c>
      <c r="I26" s="1" t="s">
        <v>63</v>
      </c>
      <c r="J26" s="1">
        <v>39</v>
      </c>
      <c r="K26" s="1" t="s">
        <v>66</v>
      </c>
      <c r="L26" s="1">
        <v>1.5</v>
      </c>
      <c r="M26" s="1">
        <v>24</v>
      </c>
      <c r="N26" s="1">
        <v>883.9</v>
      </c>
      <c r="O26" s="1">
        <v>14.5</v>
      </c>
      <c r="S26" s="1" t="s">
        <v>70</v>
      </c>
    </row>
    <row r="27" spans="1:19" ht="17.25" customHeight="1" x14ac:dyDescent="0.2">
      <c r="A27" s="2" t="str">
        <f t="shared" si="0"/>
        <v>26*N19-0231*LP 5E*Ply*2020*25</v>
      </c>
      <c r="B27" s="1" t="s">
        <v>41</v>
      </c>
      <c r="C27" s="1" t="s">
        <v>15</v>
      </c>
      <c r="D27" s="1" t="s">
        <v>16</v>
      </c>
      <c r="E27" s="1">
        <v>2020</v>
      </c>
      <c r="F27" s="1">
        <v>1</v>
      </c>
      <c r="G27" s="1">
        <v>25</v>
      </c>
      <c r="H27" s="4">
        <v>26</v>
      </c>
      <c r="I27" s="1" t="s">
        <v>62</v>
      </c>
      <c r="J27" s="1">
        <v>48</v>
      </c>
      <c r="K27" s="1" t="s">
        <v>67</v>
      </c>
      <c r="L27" s="1">
        <v>1.5</v>
      </c>
      <c r="M27" s="1">
        <v>24</v>
      </c>
      <c r="N27" s="1">
        <v>1025.3</v>
      </c>
      <c r="O27" s="1">
        <v>10.1</v>
      </c>
      <c r="S27" s="1" t="s">
        <v>70</v>
      </c>
    </row>
    <row r="28" spans="1:19" ht="17.25" customHeight="1" x14ac:dyDescent="0.2">
      <c r="A28" s="2" t="str">
        <f t="shared" si="0"/>
        <v>27*N19-0174*LP 5E*Ply*2020*20</v>
      </c>
      <c r="B28" s="1" t="s">
        <v>42</v>
      </c>
      <c r="C28" s="1" t="s">
        <v>15</v>
      </c>
      <c r="D28" s="1" t="s">
        <v>16</v>
      </c>
      <c r="E28" s="1">
        <v>2020</v>
      </c>
      <c r="F28" s="1">
        <v>1</v>
      </c>
      <c r="G28" s="1">
        <v>20</v>
      </c>
      <c r="H28" s="4">
        <v>27</v>
      </c>
      <c r="I28" s="1" t="s">
        <v>63</v>
      </c>
      <c r="J28" s="1">
        <v>36</v>
      </c>
      <c r="K28" s="1" t="s">
        <v>68</v>
      </c>
      <c r="L28" s="1">
        <v>1</v>
      </c>
      <c r="M28" s="1">
        <v>20</v>
      </c>
      <c r="N28" s="1">
        <v>1069.3</v>
      </c>
      <c r="O28" s="1">
        <v>12</v>
      </c>
      <c r="S28" s="1" t="s">
        <v>70</v>
      </c>
    </row>
    <row r="29" spans="1:19" ht="17.25" customHeight="1" x14ac:dyDescent="0.2">
      <c r="A29" s="2" t="str">
        <f t="shared" si="0"/>
        <v>28*N19-0573*LP 5E*Ply*2020*36</v>
      </c>
      <c r="B29" s="1" t="s">
        <v>43</v>
      </c>
      <c r="C29" s="1" t="s">
        <v>15</v>
      </c>
      <c r="D29" s="1" t="s">
        <v>16</v>
      </c>
      <c r="E29" s="1">
        <v>2020</v>
      </c>
      <c r="F29" s="1">
        <v>1</v>
      </c>
      <c r="G29" s="1">
        <v>36</v>
      </c>
      <c r="H29" s="4">
        <v>28</v>
      </c>
      <c r="I29" s="1" t="s">
        <v>63</v>
      </c>
      <c r="J29" s="1">
        <v>44</v>
      </c>
      <c r="K29" s="1" t="s">
        <v>67</v>
      </c>
      <c r="L29" s="1">
        <v>1.5</v>
      </c>
      <c r="M29" s="1">
        <v>24</v>
      </c>
      <c r="N29" s="1">
        <v>1235</v>
      </c>
      <c r="O29" s="1">
        <v>13.3</v>
      </c>
      <c r="S29" s="1" t="s">
        <v>70</v>
      </c>
    </row>
    <row r="30" spans="1:19" ht="17.25" customHeight="1" x14ac:dyDescent="0.2">
      <c r="A30" s="2" t="str">
        <f t="shared" si="0"/>
        <v>29*N19-0493*LP 5E*Ply*2020*34</v>
      </c>
      <c r="B30" s="1" t="s">
        <v>44</v>
      </c>
      <c r="C30" s="1" t="s">
        <v>15</v>
      </c>
      <c r="D30" s="1" t="s">
        <v>16</v>
      </c>
      <c r="E30" s="1">
        <v>2020</v>
      </c>
      <c r="F30" s="1">
        <v>1</v>
      </c>
      <c r="G30" s="1">
        <v>34</v>
      </c>
      <c r="H30" s="4">
        <v>29</v>
      </c>
      <c r="I30" s="1" t="s">
        <v>62</v>
      </c>
      <c r="J30" s="1">
        <v>47</v>
      </c>
      <c r="K30" s="1" t="s">
        <v>67</v>
      </c>
      <c r="L30" s="1">
        <v>1.5</v>
      </c>
      <c r="M30" s="1">
        <v>32</v>
      </c>
      <c r="N30" s="1">
        <v>469.9</v>
      </c>
      <c r="O30" s="1">
        <v>12.9</v>
      </c>
      <c r="S30" s="1" t="s">
        <v>70</v>
      </c>
    </row>
    <row r="31" spans="1:19" ht="17.25" customHeight="1" x14ac:dyDescent="0.2">
      <c r="A31" s="2" t="str">
        <f t="shared" si="0"/>
        <v>30*Osage*LP 5E*Ply*2020*42</v>
      </c>
      <c r="B31" s="1" t="s">
        <v>45</v>
      </c>
      <c r="C31" s="1" t="s">
        <v>15</v>
      </c>
      <c r="D31" s="1" t="s">
        <v>16</v>
      </c>
      <c r="E31" s="1">
        <v>2020</v>
      </c>
      <c r="F31" s="1">
        <v>1</v>
      </c>
      <c r="G31" s="1">
        <v>42</v>
      </c>
      <c r="H31" s="4">
        <v>30</v>
      </c>
      <c r="I31" s="1" t="s">
        <v>62</v>
      </c>
      <c r="J31" s="1">
        <v>38</v>
      </c>
      <c r="K31" s="1" t="s">
        <v>68</v>
      </c>
      <c r="L31" s="1">
        <v>2</v>
      </c>
      <c r="M31" s="1">
        <v>30</v>
      </c>
      <c r="N31" s="1">
        <v>755.6</v>
      </c>
      <c r="O31" s="1">
        <v>15.1</v>
      </c>
      <c r="Q31" s="1" t="s">
        <v>78</v>
      </c>
      <c r="S31" s="1" t="s">
        <v>70</v>
      </c>
    </row>
    <row r="32" spans="1:19" ht="17.25" customHeight="1" x14ac:dyDescent="0.2">
      <c r="A32" s="2" t="str">
        <f t="shared" si="0"/>
        <v>31*N19-0006*LP 5E*Ply*2020*2</v>
      </c>
      <c r="B32" s="1" t="s">
        <v>46</v>
      </c>
      <c r="C32" s="1" t="s">
        <v>15</v>
      </c>
      <c r="D32" s="1" t="s">
        <v>16</v>
      </c>
      <c r="E32" s="1">
        <v>2020</v>
      </c>
      <c r="F32" s="1">
        <v>1</v>
      </c>
      <c r="G32" s="1">
        <v>2</v>
      </c>
      <c r="H32" s="4">
        <v>31</v>
      </c>
      <c r="I32" s="1" t="s">
        <v>63</v>
      </c>
      <c r="J32" s="1">
        <v>46</v>
      </c>
      <c r="K32" s="1" t="s">
        <v>67</v>
      </c>
      <c r="L32" s="1">
        <v>2</v>
      </c>
      <c r="M32" s="1">
        <v>43</v>
      </c>
      <c r="N32" s="1">
        <v>1193</v>
      </c>
      <c r="O32" s="1">
        <v>11.2</v>
      </c>
      <c r="S32" s="1" t="s">
        <v>71</v>
      </c>
    </row>
    <row r="33" spans="1:19" ht="17.25" customHeight="1" x14ac:dyDescent="0.2">
      <c r="A33" s="2" t="str">
        <f t="shared" si="0"/>
        <v>32*N19-0367*LP 5E*Ply*2020*31</v>
      </c>
      <c r="B33" s="1" t="s">
        <v>47</v>
      </c>
      <c r="C33" s="1" t="s">
        <v>15</v>
      </c>
      <c r="D33" s="1" t="s">
        <v>16</v>
      </c>
      <c r="E33" s="1">
        <v>2020</v>
      </c>
      <c r="F33" s="1">
        <v>1</v>
      </c>
      <c r="G33" s="1">
        <v>31</v>
      </c>
      <c r="H33" s="4">
        <v>32</v>
      </c>
      <c r="I33" s="1" t="s">
        <v>63</v>
      </c>
      <c r="J33" s="1">
        <v>46</v>
      </c>
      <c r="K33" s="1" t="s">
        <v>66</v>
      </c>
      <c r="L33" s="1">
        <v>1.5</v>
      </c>
      <c r="M33" s="1">
        <v>32</v>
      </c>
      <c r="N33" s="1">
        <v>1120.3</v>
      </c>
      <c r="O33" s="1">
        <v>12.2</v>
      </c>
      <c r="S33" s="1" t="s">
        <v>70</v>
      </c>
    </row>
    <row r="34" spans="1:19" ht="17.25" customHeight="1" x14ac:dyDescent="0.2">
      <c r="A34" s="2" t="str">
        <f t="shared" ref="A34:A65" si="1">CONCATENATE(H34,"*",B34,"*",D34,"*",C34,"*",E34,"*",G34)</f>
        <v>33*N19-0212*LP 5E*Ply*2020*23</v>
      </c>
      <c r="B34" s="1" t="s">
        <v>48</v>
      </c>
      <c r="C34" s="1" t="s">
        <v>15</v>
      </c>
      <c r="D34" s="1" t="s">
        <v>16</v>
      </c>
      <c r="E34" s="1">
        <v>2020</v>
      </c>
      <c r="F34" s="1">
        <v>1</v>
      </c>
      <c r="G34" s="1">
        <v>23</v>
      </c>
      <c r="H34" s="4">
        <v>33</v>
      </c>
      <c r="I34" s="1" t="s">
        <v>63</v>
      </c>
      <c r="J34" s="1">
        <v>46</v>
      </c>
      <c r="K34" s="1" t="s">
        <v>67</v>
      </c>
      <c r="L34" s="1">
        <v>1.5</v>
      </c>
      <c r="M34" s="1">
        <v>24</v>
      </c>
      <c r="N34" s="1">
        <v>1202.5999999999999</v>
      </c>
      <c r="O34" s="1">
        <v>11.3</v>
      </c>
      <c r="S34" s="1" t="s">
        <v>70</v>
      </c>
    </row>
    <row r="35" spans="1:19" ht="17.25" customHeight="1" x14ac:dyDescent="0.2">
      <c r="A35" s="2" t="str">
        <f t="shared" si="1"/>
        <v>34*N19-0383*LP 5E*Ply*2020*32</v>
      </c>
      <c r="B35" s="1" t="s">
        <v>49</v>
      </c>
      <c r="C35" s="1" t="s">
        <v>15</v>
      </c>
      <c r="D35" s="1" t="s">
        <v>16</v>
      </c>
      <c r="E35" s="1">
        <v>2020</v>
      </c>
      <c r="F35" s="1">
        <v>1</v>
      </c>
      <c r="G35" s="1">
        <v>32</v>
      </c>
      <c r="H35" s="4">
        <v>34</v>
      </c>
      <c r="I35" s="1" t="s">
        <v>63</v>
      </c>
      <c r="J35" s="1">
        <v>36</v>
      </c>
      <c r="K35" s="1" t="s">
        <v>66</v>
      </c>
      <c r="L35" s="1">
        <v>1.5</v>
      </c>
      <c r="M35" s="1">
        <v>22</v>
      </c>
      <c r="N35" s="1">
        <v>1111.0999999999999</v>
      </c>
      <c r="O35" s="1">
        <v>14.5</v>
      </c>
      <c r="S35" s="1" t="s">
        <v>70</v>
      </c>
    </row>
    <row r="36" spans="1:19" ht="17.25" customHeight="1" x14ac:dyDescent="0.2">
      <c r="A36" s="2" t="str">
        <f t="shared" si="1"/>
        <v>35*Ellis*LP 5E*Ply*2020*41</v>
      </c>
      <c r="B36" s="1" t="s">
        <v>50</v>
      </c>
      <c r="C36" s="1" t="s">
        <v>15</v>
      </c>
      <c r="D36" s="1" t="s">
        <v>16</v>
      </c>
      <c r="E36" s="1">
        <v>2020</v>
      </c>
      <c r="F36" s="1">
        <v>1</v>
      </c>
      <c r="G36" s="1">
        <v>41</v>
      </c>
      <c r="H36" s="4">
        <v>35</v>
      </c>
      <c r="I36" s="1" t="s">
        <v>63</v>
      </c>
      <c r="J36" s="1">
        <v>46</v>
      </c>
      <c r="K36" s="1" t="s">
        <v>66</v>
      </c>
      <c r="L36" s="1">
        <v>1</v>
      </c>
      <c r="M36" s="1">
        <v>24</v>
      </c>
      <c r="N36" s="1">
        <v>899.2</v>
      </c>
      <c r="O36" s="1">
        <v>11.3</v>
      </c>
      <c r="S36" s="1" t="s">
        <v>70</v>
      </c>
    </row>
    <row r="37" spans="1:19" ht="17.25" customHeight="1" x14ac:dyDescent="0.2">
      <c r="A37" s="2" t="str">
        <f t="shared" si="1"/>
        <v>36*N16-599*LP 5E*Ply*2020*45</v>
      </c>
      <c r="B37" s="1" t="s">
        <v>51</v>
      </c>
      <c r="C37" s="1" t="s">
        <v>15</v>
      </c>
      <c r="D37" s="1" t="s">
        <v>16</v>
      </c>
      <c r="E37" s="1">
        <v>2020</v>
      </c>
      <c r="F37" s="1">
        <v>1</v>
      </c>
      <c r="G37" s="1">
        <v>45</v>
      </c>
      <c r="H37" s="4">
        <v>36</v>
      </c>
      <c r="I37" s="1" t="s">
        <v>62</v>
      </c>
      <c r="J37" s="1">
        <v>41</v>
      </c>
      <c r="K37" s="1" t="s">
        <v>68</v>
      </c>
      <c r="L37" s="1">
        <v>1.5</v>
      </c>
      <c r="M37" s="1">
        <v>25</v>
      </c>
      <c r="N37" s="1">
        <v>1229.0999999999999</v>
      </c>
      <c r="O37" s="1">
        <v>13.7</v>
      </c>
      <c r="S37" s="1" t="s">
        <v>70</v>
      </c>
    </row>
    <row r="38" spans="1:19" ht="17.25" customHeight="1" x14ac:dyDescent="0.2">
      <c r="A38" s="2" t="str">
        <f t="shared" si="1"/>
        <v>37*N19-0255*LP 5E*Ply*2020*28</v>
      </c>
      <c r="B38" s="1" t="s">
        <v>52</v>
      </c>
      <c r="C38" s="1" t="s">
        <v>15</v>
      </c>
      <c r="D38" s="1" t="s">
        <v>16</v>
      </c>
      <c r="E38" s="1">
        <v>2020</v>
      </c>
      <c r="F38" s="1">
        <v>1</v>
      </c>
      <c r="G38" s="1">
        <v>28</v>
      </c>
      <c r="H38" s="4">
        <v>37</v>
      </c>
      <c r="I38" s="1" t="s">
        <v>62</v>
      </c>
      <c r="J38" s="1">
        <v>38</v>
      </c>
      <c r="K38" s="1" t="s">
        <v>67</v>
      </c>
      <c r="L38" s="1">
        <v>2.5</v>
      </c>
      <c r="M38" s="1">
        <v>40</v>
      </c>
      <c r="N38" s="1">
        <v>1066.8</v>
      </c>
      <c r="O38" s="1">
        <v>14</v>
      </c>
      <c r="S38" s="1" t="s">
        <v>71</v>
      </c>
    </row>
    <row r="39" spans="1:19" ht="17.25" customHeight="1" x14ac:dyDescent="0.2">
      <c r="A39" s="2" t="str">
        <f t="shared" si="1"/>
        <v>38*N19-0238*LP 5E*Ply*2020*27</v>
      </c>
      <c r="B39" s="1" t="s">
        <v>53</v>
      </c>
      <c r="C39" s="1" t="s">
        <v>15</v>
      </c>
      <c r="D39" s="1" t="s">
        <v>16</v>
      </c>
      <c r="E39" s="1">
        <v>2020</v>
      </c>
      <c r="F39" s="1">
        <v>1</v>
      </c>
      <c r="G39" s="1">
        <v>27</v>
      </c>
      <c r="H39" s="4">
        <v>38</v>
      </c>
      <c r="I39" s="1" t="s">
        <v>62</v>
      </c>
      <c r="J39" s="1">
        <v>40</v>
      </c>
      <c r="K39" s="1" t="s">
        <v>67</v>
      </c>
      <c r="L39" s="1">
        <v>3</v>
      </c>
      <c r="M39" s="1">
        <v>41</v>
      </c>
      <c r="N39" s="1">
        <v>907.2</v>
      </c>
      <c r="O39" s="1">
        <v>12.5</v>
      </c>
      <c r="R39" s="1" t="s">
        <v>77</v>
      </c>
      <c r="S39" s="1" t="s">
        <v>71</v>
      </c>
    </row>
    <row r="40" spans="1:19" ht="17.25" customHeight="1" x14ac:dyDescent="0.2">
      <c r="A40" s="2" t="str">
        <f t="shared" si="1"/>
        <v>39*N19-0167*LP 5E*Ply*2020*18</v>
      </c>
      <c r="B40" s="1" t="s">
        <v>54</v>
      </c>
      <c r="C40" s="1" t="s">
        <v>15</v>
      </c>
      <c r="D40" s="1" t="s">
        <v>16</v>
      </c>
      <c r="E40" s="1">
        <v>2020</v>
      </c>
      <c r="F40" s="1">
        <v>1</v>
      </c>
      <c r="G40" s="1">
        <v>18</v>
      </c>
      <c r="H40" s="4">
        <v>39</v>
      </c>
      <c r="I40" s="1" t="s">
        <v>62</v>
      </c>
      <c r="J40" s="1">
        <v>40</v>
      </c>
      <c r="K40" s="1" t="s">
        <v>67</v>
      </c>
      <c r="L40" s="1">
        <v>2</v>
      </c>
      <c r="M40" s="1">
        <v>24</v>
      </c>
      <c r="N40" s="1">
        <v>1387</v>
      </c>
      <c r="O40" s="1">
        <v>13.4</v>
      </c>
      <c r="S40" s="1" t="s">
        <v>70</v>
      </c>
    </row>
    <row r="41" spans="1:19" ht="17.25" customHeight="1" x14ac:dyDescent="0.2">
      <c r="A41" s="2" t="str">
        <f t="shared" si="1"/>
        <v>40*N19-0155*LP 5E*Ply*2020*16</v>
      </c>
      <c r="B41" s="1" t="s">
        <v>55</v>
      </c>
      <c r="C41" s="1" t="s">
        <v>15</v>
      </c>
      <c r="D41" s="1" t="s">
        <v>16</v>
      </c>
      <c r="E41" s="1">
        <v>2020</v>
      </c>
      <c r="F41" s="1">
        <v>1</v>
      </c>
      <c r="G41" s="1">
        <v>16</v>
      </c>
      <c r="H41" s="4">
        <v>40</v>
      </c>
      <c r="I41" s="1" t="s">
        <v>63</v>
      </c>
      <c r="J41" s="1">
        <v>46</v>
      </c>
      <c r="K41" s="1" t="s">
        <v>67</v>
      </c>
      <c r="L41" s="1">
        <v>2.5</v>
      </c>
      <c r="M41" s="1">
        <v>50</v>
      </c>
      <c r="N41" s="1">
        <v>1182.0999999999999</v>
      </c>
      <c r="O41" s="1">
        <v>14.7</v>
      </c>
      <c r="Q41" s="1" t="s">
        <v>79</v>
      </c>
      <c r="S41" s="1" t="s">
        <v>71</v>
      </c>
    </row>
    <row r="42" spans="1:19" ht="17.25" customHeight="1" x14ac:dyDescent="0.2">
      <c r="A42" s="2" t="str">
        <f t="shared" si="1"/>
        <v>41*N19-0148*LP 5E*Ply*2020*15</v>
      </c>
      <c r="B42" s="1" t="s">
        <v>56</v>
      </c>
      <c r="C42" s="1" t="s">
        <v>15</v>
      </c>
      <c r="D42" s="1" t="s">
        <v>16</v>
      </c>
      <c r="E42" s="1">
        <v>2020</v>
      </c>
      <c r="F42" s="1">
        <v>1</v>
      </c>
      <c r="G42" s="1">
        <v>15</v>
      </c>
      <c r="H42" s="4">
        <v>41</v>
      </c>
      <c r="I42" s="1" t="s">
        <v>62</v>
      </c>
      <c r="J42" s="1">
        <v>46</v>
      </c>
      <c r="K42" s="1" t="s">
        <v>67</v>
      </c>
      <c r="L42" s="1">
        <v>1</v>
      </c>
      <c r="M42" s="1">
        <v>22</v>
      </c>
      <c r="N42" s="1">
        <v>983.4</v>
      </c>
      <c r="O42" s="1">
        <v>12.3</v>
      </c>
      <c r="S42" s="1" t="s">
        <v>70</v>
      </c>
    </row>
    <row r="43" spans="1:19" ht="17.25" customHeight="1" x14ac:dyDescent="0.2">
      <c r="A43" s="2" t="str">
        <f t="shared" si="1"/>
        <v>42*N19-0031*LP 5E*Ply*2020*5</v>
      </c>
      <c r="B43" s="1" t="s">
        <v>57</v>
      </c>
      <c r="C43" s="1" t="s">
        <v>15</v>
      </c>
      <c r="D43" s="1" t="s">
        <v>16</v>
      </c>
      <c r="E43" s="1">
        <v>2020</v>
      </c>
      <c r="F43" s="1">
        <v>1</v>
      </c>
      <c r="G43" s="1">
        <v>5</v>
      </c>
      <c r="H43" s="4">
        <v>42</v>
      </c>
      <c r="I43" s="1" t="s">
        <v>62</v>
      </c>
      <c r="J43" s="1">
        <v>36</v>
      </c>
      <c r="K43" s="1" t="s">
        <v>68</v>
      </c>
      <c r="L43" s="1">
        <v>2</v>
      </c>
      <c r="M43" s="1">
        <v>18</v>
      </c>
      <c r="N43" s="1">
        <v>945.1</v>
      </c>
      <c r="O43" s="1">
        <v>14</v>
      </c>
      <c r="S43" s="1" t="s">
        <v>70</v>
      </c>
    </row>
    <row r="44" spans="1:19" ht="17.25" customHeight="1" x14ac:dyDescent="0.2">
      <c r="A44" s="2" t="str">
        <f t="shared" si="1"/>
        <v>43*N19-1097*LP 5E*Ply*2020*37</v>
      </c>
      <c r="B44" s="1" t="s">
        <v>58</v>
      </c>
      <c r="C44" s="1" t="s">
        <v>15</v>
      </c>
      <c r="D44" s="1" t="s">
        <v>16</v>
      </c>
      <c r="E44" s="1">
        <v>2020</v>
      </c>
      <c r="F44" s="1">
        <v>1</v>
      </c>
      <c r="G44" s="1">
        <v>37</v>
      </c>
      <c r="H44" s="4">
        <v>43</v>
      </c>
      <c r="I44" s="1" t="s">
        <v>62</v>
      </c>
      <c r="J44" s="1">
        <v>43</v>
      </c>
      <c r="K44" s="1" t="s">
        <v>67</v>
      </c>
      <c r="L44" s="1">
        <v>2</v>
      </c>
      <c r="M44" s="1">
        <v>26</v>
      </c>
      <c r="N44" s="1">
        <v>1069.0999999999999</v>
      </c>
      <c r="O44" s="1">
        <v>15.7</v>
      </c>
      <c r="S44" s="1" t="s">
        <v>70</v>
      </c>
    </row>
    <row r="45" spans="1:19" ht="17.25" customHeight="1" x14ac:dyDescent="0.2">
      <c r="A45" s="2" t="str">
        <f t="shared" si="1"/>
        <v>44*N19-0008*LP 5E*Ply*2020*3</v>
      </c>
      <c r="B45" s="1" t="s">
        <v>59</v>
      </c>
      <c r="C45" s="1" t="s">
        <v>15</v>
      </c>
      <c r="D45" s="1" t="s">
        <v>16</v>
      </c>
      <c r="E45" s="1">
        <v>2020</v>
      </c>
      <c r="F45" s="1">
        <v>1</v>
      </c>
      <c r="G45" s="1">
        <v>3</v>
      </c>
      <c r="H45" s="4">
        <v>44</v>
      </c>
      <c r="I45" s="1" t="s">
        <v>63</v>
      </c>
      <c r="J45" s="1">
        <v>43</v>
      </c>
      <c r="K45" s="1" t="s">
        <v>68</v>
      </c>
      <c r="L45" s="1">
        <v>2</v>
      </c>
      <c r="M45" s="1">
        <v>23</v>
      </c>
      <c r="N45" s="1">
        <v>1031.5999999999999</v>
      </c>
      <c r="O45" s="1">
        <v>15.4</v>
      </c>
      <c r="S45" s="1" t="s">
        <v>70</v>
      </c>
    </row>
    <row r="46" spans="1:19" ht="17.25" customHeight="1" x14ac:dyDescent="0.2">
      <c r="A46" s="2" t="str">
        <f t="shared" si="1"/>
        <v>45*N19-1455*LP 5E*Ply*2020*40</v>
      </c>
      <c r="B46" s="1" t="s">
        <v>60</v>
      </c>
      <c r="C46" s="1" t="s">
        <v>15</v>
      </c>
      <c r="D46" s="1" t="s">
        <v>16</v>
      </c>
      <c r="E46" s="1">
        <v>2020</v>
      </c>
      <c r="F46" s="1">
        <v>1</v>
      </c>
      <c r="G46" s="1">
        <v>40</v>
      </c>
      <c r="H46" s="4">
        <v>45</v>
      </c>
      <c r="I46" s="1" t="s">
        <v>63</v>
      </c>
      <c r="J46" s="1">
        <v>53</v>
      </c>
      <c r="K46" s="1" t="s">
        <v>67</v>
      </c>
      <c r="L46" s="1">
        <v>2.5</v>
      </c>
      <c r="M46" s="1">
        <v>38</v>
      </c>
      <c r="N46" s="1">
        <v>967.5</v>
      </c>
      <c r="O46" s="1">
        <v>15.1</v>
      </c>
      <c r="S46" s="1" t="s">
        <v>71</v>
      </c>
    </row>
    <row r="47" spans="1:19" ht="17.25" customHeight="1" x14ac:dyDescent="0.2">
      <c r="A47" s="2" t="str">
        <f t="shared" si="1"/>
        <v>46*N19-0148*LP 5E*Ply*2020*15</v>
      </c>
      <c r="B47" s="1" t="s">
        <v>56</v>
      </c>
      <c r="C47" s="1" t="s">
        <v>15</v>
      </c>
      <c r="D47" s="1" t="s">
        <v>16</v>
      </c>
      <c r="E47" s="1">
        <v>2020</v>
      </c>
      <c r="F47" s="1">
        <v>2</v>
      </c>
      <c r="G47" s="1">
        <v>15</v>
      </c>
      <c r="H47" s="4">
        <v>46</v>
      </c>
      <c r="J47" s="1">
        <v>38</v>
      </c>
      <c r="K47" s="1" t="s">
        <v>67</v>
      </c>
      <c r="L47" s="1">
        <v>2</v>
      </c>
      <c r="M47" s="1">
        <v>26</v>
      </c>
      <c r="N47" s="1">
        <v>1136.2</v>
      </c>
      <c r="O47" s="1">
        <v>12.4</v>
      </c>
      <c r="S47" s="1" t="s">
        <v>70</v>
      </c>
    </row>
    <row r="48" spans="1:19" ht="17.25" customHeight="1" x14ac:dyDescent="0.2">
      <c r="A48" s="2" t="str">
        <f t="shared" si="1"/>
        <v>47*N19-1097*LP 5E*Ply*2020*37</v>
      </c>
      <c r="B48" s="1" t="s">
        <v>58</v>
      </c>
      <c r="C48" s="1" t="s">
        <v>15</v>
      </c>
      <c r="D48" s="1" t="s">
        <v>16</v>
      </c>
      <c r="E48" s="1">
        <v>2020</v>
      </c>
      <c r="F48" s="1">
        <v>2</v>
      </c>
      <c r="G48" s="1">
        <v>37</v>
      </c>
      <c r="H48" s="4">
        <v>47</v>
      </c>
      <c r="J48" s="1">
        <v>36</v>
      </c>
      <c r="K48" s="1" t="s">
        <v>66</v>
      </c>
      <c r="L48" s="1">
        <v>1.5</v>
      </c>
      <c r="M48" s="1">
        <v>18</v>
      </c>
      <c r="N48" s="1">
        <v>1005.4</v>
      </c>
      <c r="O48" s="1">
        <v>16</v>
      </c>
      <c r="S48" s="1" t="s">
        <v>70</v>
      </c>
    </row>
    <row r="49" spans="1:19" ht="17.25" customHeight="1" x14ac:dyDescent="0.2">
      <c r="A49" s="2" t="str">
        <f t="shared" si="1"/>
        <v>48*N19-1103*LP 5E*Ply*2020*38</v>
      </c>
      <c r="B49" s="1" t="s">
        <v>40</v>
      </c>
      <c r="C49" s="1" t="s">
        <v>15</v>
      </c>
      <c r="D49" s="1" t="s">
        <v>16</v>
      </c>
      <c r="E49" s="1">
        <v>2020</v>
      </c>
      <c r="F49" s="1">
        <v>2</v>
      </c>
      <c r="G49" s="1">
        <v>38</v>
      </c>
      <c r="H49" s="4">
        <v>48</v>
      </c>
      <c r="J49" s="1">
        <v>44</v>
      </c>
      <c r="K49" s="1" t="s">
        <v>67</v>
      </c>
      <c r="L49" s="1">
        <v>1</v>
      </c>
      <c r="M49" s="1">
        <v>15</v>
      </c>
      <c r="N49" s="1">
        <v>1131.0999999999999</v>
      </c>
      <c r="O49" s="1">
        <v>11.9</v>
      </c>
      <c r="S49" s="1" t="s">
        <v>70</v>
      </c>
    </row>
    <row r="50" spans="1:19" ht="17.25" customHeight="1" x14ac:dyDescent="0.2">
      <c r="A50" s="2" t="str">
        <f t="shared" si="1"/>
        <v>49*N19-0006*LP 5E*Ply*2020*2</v>
      </c>
      <c r="B50" s="1" t="s">
        <v>46</v>
      </c>
      <c r="C50" s="1" t="s">
        <v>15</v>
      </c>
      <c r="D50" s="1" t="s">
        <v>16</v>
      </c>
      <c r="E50" s="1">
        <v>2020</v>
      </c>
      <c r="F50" s="1">
        <v>2</v>
      </c>
      <c r="G50" s="1">
        <v>2</v>
      </c>
      <c r="H50" s="4">
        <v>49</v>
      </c>
      <c r="J50" s="1">
        <v>38</v>
      </c>
      <c r="K50" s="1" t="s">
        <v>67</v>
      </c>
      <c r="L50" s="1">
        <v>3</v>
      </c>
      <c r="M50" s="1">
        <v>49</v>
      </c>
      <c r="N50" s="1">
        <v>1108.5</v>
      </c>
      <c r="O50" s="1">
        <v>12.4</v>
      </c>
      <c r="R50" s="1" t="s">
        <v>77</v>
      </c>
      <c r="S50" s="1" t="s">
        <v>71</v>
      </c>
    </row>
    <row r="51" spans="1:19" ht="17.25" customHeight="1" x14ac:dyDescent="0.2">
      <c r="A51" s="2" t="str">
        <f t="shared" si="1"/>
        <v>50*N19-0031*LP 5E*Ply*2020*5</v>
      </c>
      <c r="B51" s="1" t="s">
        <v>57</v>
      </c>
      <c r="C51" s="1" t="s">
        <v>15</v>
      </c>
      <c r="D51" s="1" t="s">
        <v>16</v>
      </c>
      <c r="E51" s="1">
        <v>2020</v>
      </c>
      <c r="F51" s="1">
        <v>2</v>
      </c>
      <c r="G51" s="1">
        <v>5</v>
      </c>
      <c r="H51" s="4">
        <v>50</v>
      </c>
      <c r="J51" s="1">
        <v>36</v>
      </c>
      <c r="K51" s="1" t="s">
        <v>66</v>
      </c>
      <c r="L51" s="1">
        <v>1.5</v>
      </c>
      <c r="M51" s="1">
        <v>28</v>
      </c>
      <c r="N51" s="1">
        <v>1067</v>
      </c>
      <c r="O51" s="1">
        <v>14.3</v>
      </c>
      <c r="S51" s="1" t="s">
        <v>70</v>
      </c>
    </row>
    <row r="52" spans="1:19" ht="17.25" customHeight="1" x14ac:dyDescent="0.2">
      <c r="A52" s="2" t="str">
        <f t="shared" si="1"/>
        <v>51*N19-0231*LP 5E*Ply*2020*25</v>
      </c>
      <c r="B52" s="1" t="s">
        <v>41</v>
      </c>
      <c r="C52" s="1" t="s">
        <v>15</v>
      </c>
      <c r="D52" s="1" t="s">
        <v>16</v>
      </c>
      <c r="E52" s="1">
        <v>2020</v>
      </c>
      <c r="F52" s="1">
        <v>2</v>
      </c>
      <c r="G52" s="1">
        <v>25</v>
      </c>
      <c r="H52" s="4">
        <v>51</v>
      </c>
      <c r="J52" s="1">
        <v>45</v>
      </c>
      <c r="K52" s="1" t="s">
        <v>68</v>
      </c>
      <c r="L52" s="1">
        <v>1.5</v>
      </c>
      <c r="M52" s="1">
        <v>22</v>
      </c>
      <c r="N52" s="1">
        <v>928.1</v>
      </c>
      <c r="O52" s="1">
        <v>13.1</v>
      </c>
      <c r="S52" s="1" t="s">
        <v>70</v>
      </c>
    </row>
    <row r="53" spans="1:19" ht="17.25" customHeight="1" x14ac:dyDescent="0.2">
      <c r="A53" s="2" t="str">
        <f t="shared" si="1"/>
        <v>52*N19-0174*LP 5E*Ply*2020*20</v>
      </c>
      <c r="B53" s="1" t="s">
        <v>42</v>
      </c>
      <c r="C53" s="1" t="s">
        <v>15</v>
      </c>
      <c r="D53" s="1" t="s">
        <v>16</v>
      </c>
      <c r="E53" s="1">
        <v>2020</v>
      </c>
      <c r="F53" s="1">
        <v>2</v>
      </c>
      <c r="G53" s="1">
        <v>20</v>
      </c>
      <c r="H53" s="4">
        <v>52</v>
      </c>
      <c r="J53" s="1">
        <v>43</v>
      </c>
      <c r="K53" s="1" t="s">
        <v>66</v>
      </c>
      <c r="L53" s="1">
        <v>1.5</v>
      </c>
      <c r="M53" s="1">
        <v>20</v>
      </c>
      <c r="N53" s="1">
        <v>1445.8</v>
      </c>
      <c r="O53" s="1">
        <v>11.1</v>
      </c>
      <c r="S53" s="1" t="s">
        <v>70</v>
      </c>
    </row>
    <row r="54" spans="1:19" ht="17.25" customHeight="1" x14ac:dyDescent="0.2">
      <c r="A54" s="2" t="str">
        <f t="shared" si="1"/>
        <v>53*N19-0434*LP 5E*Ply*2020*33</v>
      </c>
      <c r="B54" s="1" t="s">
        <v>39</v>
      </c>
      <c r="C54" s="1" t="s">
        <v>15</v>
      </c>
      <c r="D54" s="1" t="s">
        <v>16</v>
      </c>
      <c r="E54" s="1">
        <v>2020</v>
      </c>
      <c r="F54" s="1">
        <v>2</v>
      </c>
      <c r="G54" s="1">
        <v>33</v>
      </c>
      <c r="H54" s="4">
        <v>53</v>
      </c>
      <c r="J54" s="1">
        <v>45</v>
      </c>
      <c r="K54" s="1" t="s">
        <v>67</v>
      </c>
      <c r="L54" s="1">
        <v>1</v>
      </c>
      <c r="M54" s="1">
        <v>22</v>
      </c>
      <c r="N54" s="1">
        <v>384.2</v>
      </c>
      <c r="O54" s="1">
        <v>11.5</v>
      </c>
      <c r="S54" s="1" t="s">
        <v>70</v>
      </c>
    </row>
    <row r="55" spans="1:19" ht="17.25" customHeight="1" x14ac:dyDescent="0.2">
      <c r="A55" s="2" t="str">
        <f t="shared" si="1"/>
        <v>54*N19-0383*LP 5E*Ply*2020*32</v>
      </c>
      <c r="B55" s="1" t="s">
        <v>49</v>
      </c>
      <c r="C55" s="1" t="s">
        <v>15</v>
      </c>
      <c r="D55" s="1" t="s">
        <v>16</v>
      </c>
      <c r="E55" s="1">
        <v>2020</v>
      </c>
      <c r="F55" s="1">
        <v>2</v>
      </c>
      <c r="G55" s="1">
        <v>32</v>
      </c>
      <c r="H55" s="4">
        <v>54</v>
      </c>
      <c r="J55" s="1">
        <v>36</v>
      </c>
      <c r="K55" s="1" t="s">
        <v>68</v>
      </c>
      <c r="L55" s="1">
        <v>1</v>
      </c>
      <c r="M55" s="1">
        <v>23</v>
      </c>
      <c r="N55" s="1">
        <v>953.1</v>
      </c>
      <c r="O55" s="1">
        <v>14</v>
      </c>
      <c r="S55" s="1" t="s">
        <v>70</v>
      </c>
    </row>
    <row r="56" spans="1:19" ht="17.25" customHeight="1" x14ac:dyDescent="0.2">
      <c r="A56" s="2" t="str">
        <f t="shared" si="1"/>
        <v>55*N19-0232*LP 5E*Ply*2020*26</v>
      </c>
      <c r="B56" s="1" t="s">
        <v>35</v>
      </c>
      <c r="C56" s="1" t="s">
        <v>15</v>
      </c>
      <c r="D56" s="1" t="s">
        <v>16</v>
      </c>
      <c r="E56" s="1">
        <v>2020</v>
      </c>
      <c r="F56" s="1">
        <v>2</v>
      </c>
      <c r="G56" s="1">
        <v>26</v>
      </c>
      <c r="H56" s="4">
        <v>55</v>
      </c>
      <c r="J56" s="1">
        <v>46</v>
      </c>
      <c r="K56" s="1" t="s">
        <v>67</v>
      </c>
      <c r="L56" s="1">
        <v>1</v>
      </c>
      <c r="M56" s="1">
        <v>24</v>
      </c>
      <c r="N56" s="1">
        <v>1133.9000000000001</v>
      </c>
      <c r="O56" s="1">
        <v>13.4</v>
      </c>
      <c r="S56" s="1" t="s">
        <v>70</v>
      </c>
    </row>
    <row r="57" spans="1:19" ht="17.25" customHeight="1" x14ac:dyDescent="0.2">
      <c r="A57" s="2" t="str">
        <f t="shared" si="1"/>
        <v>56*N19-0102*LP 5E*Ply*2020*13</v>
      </c>
      <c r="B57" s="1" t="s">
        <v>23</v>
      </c>
      <c r="C57" s="1" t="s">
        <v>15</v>
      </c>
      <c r="D57" s="1" t="s">
        <v>16</v>
      </c>
      <c r="E57" s="1">
        <v>2020</v>
      </c>
      <c r="F57" s="1">
        <v>2</v>
      </c>
      <c r="G57" s="1">
        <v>13</v>
      </c>
      <c r="H57" s="4">
        <v>56</v>
      </c>
      <c r="J57" s="1">
        <v>38</v>
      </c>
      <c r="K57" s="1" t="s">
        <v>68</v>
      </c>
      <c r="L57" s="1">
        <v>1</v>
      </c>
      <c r="M57" s="1">
        <v>23</v>
      </c>
      <c r="N57" s="1">
        <v>1208</v>
      </c>
      <c r="O57" s="1">
        <v>14</v>
      </c>
      <c r="S57" s="1" t="s">
        <v>70</v>
      </c>
    </row>
    <row r="58" spans="1:19" ht="17.25" customHeight="1" x14ac:dyDescent="0.2">
      <c r="A58" s="2" t="str">
        <f t="shared" si="1"/>
        <v>57*N19-0171*LP 5E*Ply*2020*19</v>
      </c>
      <c r="B58" s="1" t="s">
        <v>18</v>
      </c>
      <c r="C58" s="1" t="s">
        <v>15</v>
      </c>
      <c r="D58" s="1" t="s">
        <v>16</v>
      </c>
      <c r="E58" s="1">
        <v>2020</v>
      </c>
      <c r="F58" s="1">
        <v>2</v>
      </c>
      <c r="G58" s="1">
        <v>19</v>
      </c>
      <c r="H58" s="4">
        <v>57</v>
      </c>
      <c r="J58" s="1">
        <v>47</v>
      </c>
      <c r="K58" s="1" t="s">
        <v>67</v>
      </c>
      <c r="L58" s="1">
        <v>1.5</v>
      </c>
      <c r="M58" s="1">
        <v>28</v>
      </c>
      <c r="N58" s="1">
        <v>1302.9000000000001</v>
      </c>
      <c r="O58" s="1">
        <v>13.1</v>
      </c>
      <c r="S58" s="1" t="s">
        <v>70</v>
      </c>
    </row>
    <row r="59" spans="1:19" ht="17.25" customHeight="1" x14ac:dyDescent="0.2">
      <c r="A59" s="2" t="str">
        <f t="shared" si="1"/>
        <v>58*Osage*LP 5E*Ply*2020*42</v>
      </c>
      <c r="B59" s="1" t="s">
        <v>45</v>
      </c>
      <c r="C59" s="1" t="s">
        <v>15</v>
      </c>
      <c r="D59" s="1" t="s">
        <v>16</v>
      </c>
      <c r="E59" s="1">
        <v>2020</v>
      </c>
      <c r="F59" s="1">
        <v>2</v>
      </c>
      <c r="G59" s="1">
        <v>42</v>
      </c>
      <c r="H59" s="4">
        <v>58</v>
      </c>
      <c r="J59" s="1">
        <v>48</v>
      </c>
      <c r="K59" s="1" t="s">
        <v>66</v>
      </c>
      <c r="L59" s="1">
        <v>1.5</v>
      </c>
      <c r="M59" s="1">
        <v>26</v>
      </c>
      <c r="N59" s="1">
        <v>1002.5</v>
      </c>
      <c r="O59" s="1">
        <v>12.5</v>
      </c>
      <c r="S59" s="1" t="s">
        <v>70</v>
      </c>
    </row>
    <row r="60" spans="1:19" ht="17.25" customHeight="1" x14ac:dyDescent="0.2">
      <c r="A60" s="2" t="str">
        <f t="shared" si="1"/>
        <v>59*N19-0208*LP 5E*Ply*2020*22</v>
      </c>
      <c r="B60" s="1" t="s">
        <v>34</v>
      </c>
      <c r="C60" s="1" t="s">
        <v>15</v>
      </c>
      <c r="D60" s="1" t="s">
        <v>16</v>
      </c>
      <c r="E60" s="1">
        <v>2020</v>
      </c>
      <c r="F60" s="1">
        <v>2</v>
      </c>
      <c r="G60" s="1">
        <v>22</v>
      </c>
      <c r="H60" s="4">
        <v>59</v>
      </c>
      <c r="J60" s="1">
        <v>38</v>
      </c>
      <c r="K60" s="1" t="s">
        <v>68</v>
      </c>
      <c r="L60" s="1">
        <v>2</v>
      </c>
      <c r="M60" s="1">
        <v>28</v>
      </c>
      <c r="N60" s="1">
        <v>1181.9000000000001</v>
      </c>
      <c r="O60" s="1">
        <v>13</v>
      </c>
      <c r="S60" s="1" t="s">
        <v>70</v>
      </c>
    </row>
    <row r="61" spans="1:19" ht="17.25" customHeight="1" x14ac:dyDescent="0.2">
      <c r="A61" s="2" t="str">
        <f t="shared" si="1"/>
        <v>60*N19-0219*LP 5E*Ply*2020*24</v>
      </c>
      <c r="B61" s="1" t="s">
        <v>22</v>
      </c>
      <c r="C61" s="1" t="s">
        <v>15</v>
      </c>
      <c r="D61" s="1" t="s">
        <v>16</v>
      </c>
      <c r="E61" s="1">
        <v>2020</v>
      </c>
      <c r="F61" s="1">
        <v>2</v>
      </c>
      <c r="G61" s="1">
        <v>24</v>
      </c>
      <c r="H61" s="4">
        <v>60</v>
      </c>
      <c r="J61" s="1">
        <v>46</v>
      </c>
      <c r="K61" s="1" t="s">
        <v>67</v>
      </c>
      <c r="L61" s="1">
        <v>1.5</v>
      </c>
      <c r="M61" s="1">
        <v>29</v>
      </c>
      <c r="N61" s="1">
        <v>1137.7</v>
      </c>
      <c r="O61" s="1">
        <v>15.8</v>
      </c>
      <c r="S61" s="1" t="s">
        <v>70</v>
      </c>
    </row>
    <row r="62" spans="1:19" ht="17.25" customHeight="1" x14ac:dyDescent="0.2">
      <c r="A62" s="2" t="str">
        <f t="shared" si="1"/>
        <v>61*N19-0573*LP 5E*Ply*2020*36</v>
      </c>
      <c r="B62" s="1" t="s">
        <v>43</v>
      </c>
      <c r="C62" s="1" t="s">
        <v>15</v>
      </c>
      <c r="D62" s="1" t="s">
        <v>16</v>
      </c>
      <c r="E62" s="1">
        <v>2020</v>
      </c>
      <c r="F62" s="1">
        <v>2</v>
      </c>
      <c r="G62" s="1">
        <v>36</v>
      </c>
      <c r="H62" s="4">
        <v>61</v>
      </c>
      <c r="J62" s="1">
        <v>41</v>
      </c>
      <c r="K62" s="1" t="s">
        <v>68</v>
      </c>
      <c r="L62" s="1">
        <v>1</v>
      </c>
      <c r="M62" s="1">
        <v>28</v>
      </c>
      <c r="N62" s="1">
        <v>1177.5</v>
      </c>
      <c r="O62" s="1">
        <v>13.3</v>
      </c>
      <c r="S62" s="1" t="s">
        <v>70</v>
      </c>
    </row>
    <row r="63" spans="1:19" ht="17.25" customHeight="1" x14ac:dyDescent="0.2">
      <c r="A63" s="2" t="str">
        <f t="shared" si="1"/>
        <v>62*N19-0060*LP 5E*Ply*2020*8</v>
      </c>
      <c r="B63" s="1" t="s">
        <v>38</v>
      </c>
      <c r="C63" s="1" t="s">
        <v>15</v>
      </c>
      <c r="D63" s="1" t="s">
        <v>16</v>
      </c>
      <c r="E63" s="1">
        <v>2020</v>
      </c>
      <c r="F63" s="1">
        <v>2</v>
      </c>
      <c r="G63" s="1">
        <v>8</v>
      </c>
      <c r="H63" s="4">
        <v>62</v>
      </c>
      <c r="J63" s="1">
        <v>44</v>
      </c>
      <c r="K63" s="1" t="s">
        <v>67</v>
      </c>
      <c r="L63" s="1">
        <v>2</v>
      </c>
      <c r="M63" s="1">
        <v>30</v>
      </c>
      <c r="N63" s="1">
        <v>1311.1</v>
      </c>
      <c r="O63" s="1">
        <v>14.8</v>
      </c>
      <c r="S63" s="1" t="s">
        <v>70</v>
      </c>
    </row>
    <row r="64" spans="1:19" ht="17.25" customHeight="1" x14ac:dyDescent="0.2">
      <c r="A64" s="2" t="str">
        <f t="shared" si="1"/>
        <v>63*N19-0367*LP 5E*Ply*2020*31</v>
      </c>
      <c r="B64" s="1" t="s">
        <v>47</v>
      </c>
      <c r="C64" s="1" t="s">
        <v>15</v>
      </c>
      <c r="D64" s="1" t="s">
        <v>16</v>
      </c>
      <c r="E64" s="1">
        <v>2020</v>
      </c>
      <c r="F64" s="1">
        <v>2</v>
      </c>
      <c r="G64" s="1">
        <v>31</v>
      </c>
      <c r="H64" s="4">
        <v>63</v>
      </c>
      <c r="J64" s="1">
        <v>38</v>
      </c>
      <c r="K64" s="1" t="s">
        <v>68</v>
      </c>
      <c r="L64" s="1">
        <v>2</v>
      </c>
      <c r="M64" s="1">
        <v>30</v>
      </c>
      <c r="N64" s="1">
        <v>845.9</v>
      </c>
      <c r="O64" s="1">
        <v>14.4</v>
      </c>
      <c r="S64" s="1" t="s">
        <v>69</v>
      </c>
    </row>
    <row r="65" spans="1:19" ht="17.25" customHeight="1" x14ac:dyDescent="0.2">
      <c r="A65" s="2" t="str">
        <f t="shared" si="1"/>
        <v>64*N19-0004*LP 5E*Ply*2020*1</v>
      </c>
      <c r="B65" s="1" t="s">
        <v>21</v>
      </c>
      <c r="C65" s="1" t="s">
        <v>15</v>
      </c>
      <c r="D65" s="1" t="s">
        <v>16</v>
      </c>
      <c r="E65" s="1">
        <v>2020</v>
      </c>
      <c r="F65" s="1">
        <v>2</v>
      </c>
      <c r="G65" s="1">
        <v>1</v>
      </c>
      <c r="H65" s="4">
        <v>64</v>
      </c>
      <c r="J65" s="1">
        <v>56</v>
      </c>
      <c r="K65" s="1" t="s">
        <v>67</v>
      </c>
      <c r="L65" s="1">
        <v>2.5</v>
      </c>
      <c r="M65" s="1">
        <v>47</v>
      </c>
      <c r="N65" s="1">
        <v>1152.5999999999999</v>
      </c>
      <c r="O65" s="1">
        <v>13.9</v>
      </c>
      <c r="Q65" s="1" t="s">
        <v>79</v>
      </c>
      <c r="S65" s="1" t="s">
        <v>71</v>
      </c>
    </row>
    <row r="66" spans="1:19" ht="17.25" customHeight="1" x14ac:dyDescent="0.2">
      <c r="A66" s="2" t="str">
        <f t="shared" ref="A66:A97" si="2">CONCATENATE(H66,"*",B66,"*",D66,"*",C66,"*",E66,"*",G66)</f>
        <v>65*N19-0155*LP 5E*Ply*2020*16</v>
      </c>
      <c r="B66" s="1" t="s">
        <v>55</v>
      </c>
      <c r="C66" s="1" t="s">
        <v>15</v>
      </c>
      <c r="D66" s="1" t="s">
        <v>16</v>
      </c>
      <c r="E66" s="1">
        <v>2020</v>
      </c>
      <c r="F66" s="1">
        <v>2</v>
      </c>
      <c r="G66" s="1">
        <v>16</v>
      </c>
      <c r="H66" s="4">
        <v>65</v>
      </c>
      <c r="J66" s="1">
        <v>41</v>
      </c>
      <c r="K66" s="1" t="s">
        <v>67</v>
      </c>
      <c r="L66" s="1">
        <v>1.5</v>
      </c>
      <c r="M66" s="1">
        <v>24</v>
      </c>
      <c r="N66" s="1">
        <v>1176.2</v>
      </c>
      <c r="O66" s="1">
        <v>13.6</v>
      </c>
      <c r="S66" s="1" t="s">
        <v>70</v>
      </c>
    </row>
    <row r="67" spans="1:19" ht="17.25" customHeight="1" x14ac:dyDescent="0.2">
      <c r="A67" s="2" t="str">
        <f t="shared" si="2"/>
        <v>66*N19-0095*LP 5E*Ply*2020*11</v>
      </c>
      <c r="B67" s="1" t="s">
        <v>36</v>
      </c>
      <c r="C67" s="1" t="s">
        <v>15</v>
      </c>
      <c r="D67" s="1" t="s">
        <v>16</v>
      </c>
      <c r="E67" s="1">
        <v>2020</v>
      </c>
      <c r="F67" s="1">
        <v>2</v>
      </c>
      <c r="G67" s="1">
        <v>11</v>
      </c>
      <c r="H67" s="4">
        <v>66</v>
      </c>
      <c r="J67" s="1">
        <v>38</v>
      </c>
      <c r="K67" s="1" t="s">
        <v>67</v>
      </c>
      <c r="L67" s="1">
        <v>2</v>
      </c>
      <c r="M67" s="1">
        <v>44</v>
      </c>
      <c r="N67" s="1">
        <v>1076</v>
      </c>
      <c r="O67" s="1">
        <v>14.6</v>
      </c>
      <c r="S67" s="1" t="s">
        <v>71</v>
      </c>
    </row>
    <row r="68" spans="1:19" ht="17.25" customHeight="1" x14ac:dyDescent="0.2">
      <c r="A68" s="2" t="str">
        <f t="shared" si="2"/>
        <v>67*N19-0212*LP 5E*Ply*2020*23</v>
      </c>
      <c r="B68" s="1" t="s">
        <v>48</v>
      </c>
      <c r="C68" s="1" t="s">
        <v>15</v>
      </c>
      <c r="D68" s="1" t="s">
        <v>16</v>
      </c>
      <c r="E68" s="1">
        <v>2020</v>
      </c>
      <c r="F68" s="1">
        <v>2</v>
      </c>
      <c r="G68" s="1">
        <v>23</v>
      </c>
      <c r="H68" s="4">
        <v>67</v>
      </c>
      <c r="J68" s="1">
        <v>38</v>
      </c>
      <c r="K68" s="1" t="s">
        <v>66</v>
      </c>
      <c r="L68" s="1">
        <v>2.5</v>
      </c>
      <c r="M68" s="1">
        <v>38</v>
      </c>
      <c r="N68" s="1">
        <v>1429</v>
      </c>
      <c r="O68" s="1">
        <v>13.4</v>
      </c>
      <c r="R68" s="1" t="s">
        <v>75</v>
      </c>
      <c r="S68" s="1" t="s">
        <v>71</v>
      </c>
    </row>
    <row r="69" spans="1:19" ht="17.25" customHeight="1" x14ac:dyDescent="0.2">
      <c r="A69" s="2" t="str">
        <f t="shared" si="2"/>
        <v>68*N19-0493*LP 5E*Ply*2020*34</v>
      </c>
      <c r="B69" s="1" t="s">
        <v>44</v>
      </c>
      <c r="C69" s="1" t="s">
        <v>15</v>
      </c>
      <c r="D69" s="1" t="s">
        <v>16</v>
      </c>
      <c r="E69" s="1">
        <v>2020</v>
      </c>
      <c r="F69" s="1">
        <v>2</v>
      </c>
      <c r="G69" s="1">
        <v>34</v>
      </c>
      <c r="H69" s="4">
        <v>68</v>
      </c>
      <c r="J69" s="1">
        <v>36</v>
      </c>
      <c r="K69" s="1" t="s">
        <v>68</v>
      </c>
      <c r="L69" s="1">
        <v>1</v>
      </c>
      <c r="M69" s="1">
        <v>29</v>
      </c>
      <c r="N69" s="1">
        <v>931.5</v>
      </c>
      <c r="O69" s="1">
        <v>15.4</v>
      </c>
      <c r="S69" s="1" t="s">
        <v>70</v>
      </c>
    </row>
    <row r="70" spans="1:19" ht="17.25" customHeight="1" x14ac:dyDescent="0.2">
      <c r="A70" s="2" t="str">
        <f t="shared" si="2"/>
        <v>69*N19-0195*LP 5E*Ply*2020*21</v>
      </c>
      <c r="B70" s="1" t="s">
        <v>29</v>
      </c>
      <c r="C70" s="1" t="s">
        <v>15</v>
      </c>
      <c r="D70" s="1" t="s">
        <v>16</v>
      </c>
      <c r="E70" s="1">
        <v>2020</v>
      </c>
      <c r="F70" s="1">
        <v>2</v>
      </c>
      <c r="G70" s="1">
        <v>21</v>
      </c>
      <c r="H70" s="4">
        <v>69</v>
      </c>
      <c r="J70" s="1">
        <v>48</v>
      </c>
      <c r="K70" s="1" t="s">
        <v>67</v>
      </c>
      <c r="L70" s="1">
        <v>1.5</v>
      </c>
      <c r="M70" s="1">
        <v>30</v>
      </c>
      <c r="N70" s="1">
        <v>1386.8</v>
      </c>
      <c r="O70" s="1">
        <v>13.2</v>
      </c>
      <c r="S70" s="1" t="s">
        <v>70</v>
      </c>
    </row>
    <row r="71" spans="1:19" ht="17.25" customHeight="1" x14ac:dyDescent="0.2">
      <c r="A71" s="2" t="str">
        <f t="shared" si="2"/>
        <v>70*Miller*LP 5E*Ply*2020*43</v>
      </c>
      <c r="B71" s="1" t="s">
        <v>17</v>
      </c>
      <c r="C71" s="1" t="s">
        <v>15</v>
      </c>
      <c r="D71" s="1" t="s">
        <v>16</v>
      </c>
      <c r="E71" s="1">
        <v>2020</v>
      </c>
      <c r="F71" s="1">
        <v>2</v>
      </c>
      <c r="G71" s="1">
        <v>43</v>
      </c>
      <c r="H71" s="4">
        <v>70</v>
      </c>
      <c r="J71" s="1">
        <v>41</v>
      </c>
      <c r="K71" s="1" t="s">
        <v>66</v>
      </c>
      <c r="L71" s="1">
        <v>1.5</v>
      </c>
      <c r="M71" s="1">
        <v>28</v>
      </c>
      <c r="N71" s="1">
        <v>1138.2</v>
      </c>
      <c r="O71" s="1">
        <v>11.4</v>
      </c>
      <c r="S71" s="1" t="s">
        <v>70</v>
      </c>
    </row>
    <row r="72" spans="1:19" ht="17.25" customHeight="1" x14ac:dyDescent="0.2">
      <c r="A72" s="2" t="str">
        <f t="shared" si="2"/>
        <v>71*N16-601*LP 5E*Ply*2020*44</v>
      </c>
      <c r="B72" s="1" t="s">
        <v>26</v>
      </c>
      <c r="C72" s="1" t="s">
        <v>15</v>
      </c>
      <c r="D72" s="1" t="s">
        <v>16</v>
      </c>
      <c r="E72" s="1">
        <v>2020</v>
      </c>
      <c r="F72" s="1">
        <v>2</v>
      </c>
      <c r="G72" s="1">
        <v>44</v>
      </c>
      <c r="H72" s="4">
        <v>71</v>
      </c>
      <c r="J72" s="1">
        <v>44</v>
      </c>
      <c r="K72" s="1" t="s">
        <v>67</v>
      </c>
      <c r="L72" s="1">
        <v>2.5</v>
      </c>
      <c r="M72" s="1">
        <v>34</v>
      </c>
      <c r="N72" s="1">
        <v>993.3</v>
      </c>
      <c r="O72" s="1">
        <v>12.3</v>
      </c>
      <c r="S72" s="1" t="s">
        <v>71</v>
      </c>
    </row>
    <row r="73" spans="1:19" ht="17.25" customHeight="1" x14ac:dyDescent="0.2">
      <c r="A73" s="2" t="str">
        <f t="shared" si="2"/>
        <v>72*N19-0167*LP 5E*Ply*2020*18</v>
      </c>
      <c r="B73" s="1" t="s">
        <v>54</v>
      </c>
      <c r="C73" s="1" t="s">
        <v>15</v>
      </c>
      <c r="D73" s="1" t="s">
        <v>16</v>
      </c>
      <c r="E73" s="1">
        <v>2020</v>
      </c>
      <c r="F73" s="1">
        <v>2</v>
      </c>
      <c r="G73" s="1">
        <v>18</v>
      </c>
      <c r="H73" s="4">
        <v>72</v>
      </c>
      <c r="J73" s="1">
        <v>41</v>
      </c>
      <c r="K73" s="1" t="s">
        <v>66</v>
      </c>
      <c r="L73" s="1">
        <v>1.5</v>
      </c>
      <c r="M73" s="1">
        <v>28</v>
      </c>
      <c r="N73" s="1">
        <v>1240.5</v>
      </c>
      <c r="O73" s="1">
        <v>13</v>
      </c>
      <c r="S73" s="1" t="s">
        <v>70</v>
      </c>
    </row>
    <row r="74" spans="1:19" ht="17.25" customHeight="1" x14ac:dyDescent="0.2">
      <c r="A74" s="2" t="str">
        <f t="shared" si="2"/>
        <v>73*N19-0117*LP 5E*Ply*2020*14</v>
      </c>
      <c r="B74" s="1" t="s">
        <v>28</v>
      </c>
      <c r="C74" s="1" t="s">
        <v>15</v>
      </c>
      <c r="D74" s="1" t="s">
        <v>16</v>
      </c>
      <c r="E74" s="1">
        <v>2020</v>
      </c>
      <c r="F74" s="1">
        <v>2</v>
      </c>
      <c r="G74" s="1">
        <v>14</v>
      </c>
      <c r="H74" s="4">
        <v>73</v>
      </c>
      <c r="J74" s="1">
        <v>38</v>
      </c>
      <c r="K74" s="1" t="s">
        <v>66</v>
      </c>
      <c r="L74" s="1">
        <v>1.5</v>
      </c>
      <c r="M74" s="1">
        <v>25</v>
      </c>
      <c r="N74" s="1">
        <v>1196.4000000000001</v>
      </c>
      <c r="O74" s="1">
        <v>14.8</v>
      </c>
      <c r="S74" s="1" t="s">
        <v>70</v>
      </c>
    </row>
    <row r="75" spans="1:19" ht="17.25" customHeight="1" x14ac:dyDescent="0.2">
      <c r="A75" s="2" t="str">
        <f t="shared" si="2"/>
        <v>74*N19-0159*LP 5E*Ply*2020*17</v>
      </c>
      <c r="B75" s="1" t="s">
        <v>33</v>
      </c>
      <c r="C75" s="1" t="s">
        <v>15</v>
      </c>
      <c r="D75" s="1" t="s">
        <v>16</v>
      </c>
      <c r="E75" s="1">
        <v>2020</v>
      </c>
      <c r="F75" s="1">
        <v>2</v>
      </c>
      <c r="G75" s="1">
        <v>17</v>
      </c>
      <c r="H75" s="4">
        <v>74</v>
      </c>
      <c r="J75" s="1">
        <v>55</v>
      </c>
      <c r="K75" s="1" t="s">
        <v>66</v>
      </c>
      <c r="L75" s="1">
        <v>1.5</v>
      </c>
      <c r="M75" s="1">
        <v>26</v>
      </c>
      <c r="N75" s="1">
        <v>1256.0999999999999</v>
      </c>
      <c r="O75" s="1">
        <v>15.8</v>
      </c>
      <c r="S75" s="1" t="s">
        <v>70</v>
      </c>
    </row>
    <row r="76" spans="1:19" ht="17.25" customHeight="1" x14ac:dyDescent="0.2">
      <c r="A76" s="2" t="str">
        <f t="shared" si="2"/>
        <v>75*N19-0042*LP 5E*Ply*2020*7</v>
      </c>
      <c r="B76" s="1" t="s">
        <v>19</v>
      </c>
      <c r="C76" s="1" t="s">
        <v>15</v>
      </c>
      <c r="D76" s="1" t="s">
        <v>16</v>
      </c>
      <c r="E76" s="1">
        <v>2020</v>
      </c>
      <c r="F76" s="1">
        <v>2</v>
      </c>
      <c r="G76" s="1">
        <v>7</v>
      </c>
      <c r="H76" s="4">
        <v>75</v>
      </c>
      <c r="J76" s="1">
        <v>48</v>
      </c>
      <c r="K76" s="1" t="s">
        <v>67</v>
      </c>
      <c r="L76" s="1">
        <v>2</v>
      </c>
      <c r="M76" s="1">
        <v>49</v>
      </c>
      <c r="N76" s="1">
        <v>1108.2</v>
      </c>
      <c r="O76" s="1">
        <v>14.4</v>
      </c>
      <c r="Q76" s="1" t="s">
        <v>76</v>
      </c>
      <c r="S76" s="1" t="s">
        <v>71</v>
      </c>
    </row>
    <row r="77" spans="1:19" ht="17.25" customHeight="1" x14ac:dyDescent="0.2">
      <c r="A77" s="2" t="str">
        <f t="shared" si="2"/>
        <v>76*N19-0255*LP 5E*Ply*2020*28</v>
      </c>
      <c r="B77" s="1" t="s">
        <v>52</v>
      </c>
      <c r="C77" s="1" t="s">
        <v>15</v>
      </c>
      <c r="D77" s="1" t="s">
        <v>16</v>
      </c>
      <c r="E77" s="1">
        <v>2020</v>
      </c>
      <c r="F77" s="1">
        <v>2</v>
      </c>
      <c r="G77" s="1">
        <v>28</v>
      </c>
      <c r="H77" s="4">
        <v>76</v>
      </c>
      <c r="J77" s="1">
        <v>36</v>
      </c>
      <c r="K77" s="1" t="s">
        <v>68</v>
      </c>
      <c r="L77" s="1">
        <v>2</v>
      </c>
      <c r="M77" s="1">
        <v>22</v>
      </c>
      <c r="N77" s="1">
        <v>934.9</v>
      </c>
      <c r="O77" s="1">
        <v>12.4</v>
      </c>
      <c r="S77" s="1" t="s">
        <v>70</v>
      </c>
    </row>
    <row r="78" spans="1:19" ht="17.25" customHeight="1" x14ac:dyDescent="0.2">
      <c r="A78" s="2" t="str">
        <f t="shared" si="2"/>
        <v>77*N19-0030*LP 5E*Ply*2020*4</v>
      </c>
      <c r="B78" s="1" t="s">
        <v>20</v>
      </c>
      <c r="C78" s="1" t="s">
        <v>15</v>
      </c>
      <c r="D78" s="1" t="s">
        <v>16</v>
      </c>
      <c r="E78" s="1">
        <v>2020</v>
      </c>
      <c r="F78" s="1">
        <v>2</v>
      </c>
      <c r="G78" s="1">
        <v>4</v>
      </c>
      <c r="H78" s="4">
        <v>77</v>
      </c>
      <c r="J78" s="1">
        <v>45</v>
      </c>
      <c r="K78" s="1" t="s">
        <v>67</v>
      </c>
      <c r="L78" s="1">
        <v>2</v>
      </c>
      <c r="M78" s="1">
        <v>36</v>
      </c>
      <c r="N78" s="1">
        <v>1354.8</v>
      </c>
      <c r="O78" s="1">
        <v>12.5</v>
      </c>
      <c r="S78" s="1" t="s">
        <v>69</v>
      </c>
    </row>
    <row r="79" spans="1:19" ht="17.25" customHeight="1" x14ac:dyDescent="0.2">
      <c r="A79" s="2" t="str">
        <f t="shared" si="2"/>
        <v>78*Ellis*LP 5E*Ply*2020*41</v>
      </c>
      <c r="B79" s="1" t="s">
        <v>50</v>
      </c>
      <c r="C79" s="1" t="s">
        <v>15</v>
      </c>
      <c r="D79" s="1" t="s">
        <v>16</v>
      </c>
      <c r="E79" s="1">
        <v>2020</v>
      </c>
      <c r="F79" s="1">
        <v>2</v>
      </c>
      <c r="G79" s="1">
        <v>41</v>
      </c>
      <c r="H79" s="4">
        <v>78</v>
      </c>
      <c r="J79" s="1">
        <v>36</v>
      </c>
      <c r="K79" s="1" t="s">
        <v>66</v>
      </c>
      <c r="L79" s="1">
        <v>1.5</v>
      </c>
      <c r="M79" s="1">
        <v>23</v>
      </c>
      <c r="N79" s="1">
        <v>976</v>
      </c>
      <c r="O79" s="1">
        <v>12.7</v>
      </c>
      <c r="S79" s="1" t="s">
        <v>70</v>
      </c>
    </row>
    <row r="80" spans="1:19" ht="17.25" customHeight="1" x14ac:dyDescent="0.2">
      <c r="A80" s="2" t="str">
        <f t="shared" si="2"/>
        <v>79*N19-0087*LP 5E*Ply*2020*10</v>
      </c>
      <c r="B80" s="1" t="s">
        <v>14</v>
      </c>
      <c r="C80" s="1" t="s">
        <v>15</v>
      </c>
      <c r="D80" s="1" t="s">
        <v>16</v>
      </c>
      <c r="E80" s="1">
        <v>2020</v>
      </c>
      <c r="F80" s="1">
        <v>2</v>
      </c>
      <c r="G80" s="1">
        <v>10</v>
      </c>
      <c r="H80" s="4">
        <v>79</v>
      </c>
      <c r="J80" s="1">
        <v>44</v>
      </c>
      <c r="K80" s="1" t="s">
        <v>67</v>
      </c>
      <c r="L80" s="1">
        <v>1.5</v>
      </c>
      <c r="M80" s="1">
        <v>45</v>
      </c>
      <c r="N80" s="1">
        <v>1223.9000000000001</v>
      </c>
      <c r="O80" s="1">
        <v>14.3</v>
      </c>
      <c r="S80" s="1" t="s">
        <v>71</v>
      </c>
    </row>
    <row r="81" spans="1:19" ht="17.25" customHeight="1" x14ac:dyDescent="0.2">
      <c r="A81" s="2" t="str">
        <f t="shared" si="2"/>
        <v>80*N19-0008*LP 5E*Ply*2020*3</v>
      </c>
      <c r="B81" s="1" t="s">
        <v>59</v>
      </c>
      <c r="C81" s="1" t="s">
        <v>15</v>
      </c>
      <c r="D81" s="1" t="s">
        <v>16</v>
      </c>
      <c r="E81" s="1">
        <v>2020</v>
      </c>
      <c r="F81" s="1">
        <v>2</v>
      </c>
      <c r="G81" s="1">
        <v>3</v>
      </c>
      <c r="H81" s="4">
        <v>80</v>
      </c>
      <c r="J81" s="1">
        <v>44</v>
      </c>
      <c r="K81" s="1" t="s">
        <v>67</v>
      </c>
      <c r="L81" s="1">
        <v>1.5</v>
      </c>
      <c r="M81" s="1">
        <v>22</v>
      </c>
      <c r="N81" s="1">
        <v>1108.3</v>
      </c>
      <c r="O81" s="1">
        <v>12.4</v>
      </c>
      <c r="S81" s="1" t="s">
        <v>70</v>
      </c>
    </row>
    <row r="82" spans="1:19" ht="17.25" customHeight="1" x14ac:dyDescent="0.2">
      <c r="A82" s="2" t="str">
        <f t="shared" si="2"/>
        <v>81*N16-599*LP 5E*Ply*2020*45</v>
      </c>
      <c r="B82" s="1" t="s">
        <v>51</v>
      </c>
      <c r="C82" s="1" t="s">
        <v>15</v>
      </c>
      <c r="D82" s="1" t="s">
        <v>16</v>
      </c>
      <c r="E82" s="1">
        <v>2020</v>
      </c>
      <c r="F82" s="1">
        <v>2</v>
      </c>
      <c r="G82" s="1">
        <v>45</v>
      </c>
      <c r="H82" s="4">
        <v>81</v>
      </c>
      <c r="J82" s="1">
        <v>41</v>
      </c>
      <c r="K82" s="1" t="s">
        <v>68</v>
      </c>
      <c r="L82" s="1">
        <v>1</v>
      </c>
      <c r="M82" s="1">
        <v>27</v>
      </c>
      <c r="N82" s="1">
        <v>1049.9000000000001</v>
      </c>
      <c r="O82" s="1">
        <v>13</v>
      </c>
      <c r="S82" s="1" t="s">
        <v>70</v>
      </c>
    </row>
    <row r="83" spans="1:19" ht="17.25" customHeight="1" x14ac:dyDescent="0.2">
      <c r="A83" s="2" t="str">
        <f t="shared" si="2"/>
        <v>82*N19-0034*LP 5E*Ply*2020*6</v>
      </c>
      <c r="B83" s="1" t="s">
        <v>32</v>
      </c>
      <c r="C83" s="1" t="s">
        <v>15</v>
      </c>
      <c r="D83" s="1" t="s">
        <v>16</v>
      </c>
      <c r="E83" s="1">
        <v>2020</v>
      </c>
      <c r="F83" s="1">
        <v>2</v>
      </c>
      <c r="G83" s="1">
        <v>6</v>
      </c>
      <c r="H83" s="4">
        <v>82</v>
      </c>
      <c r="J83" s="1">
        <v>41</v>
      </c>
      <c r="K83" s="1" t="s">
        <v>67</v>
      </c>
      <c r="L83" s="1">
        <v>2.5</v>
      </c>
      <c r="M83" s="1">
        <v>27</v>
      </c>
      <c r="N83" s="1">
        <v>1341.7</v>
      </c>
      <c r="O83" s="1">
        <v>13.8</v>
      </c>
      <c r="S83" s="1" t="s">
        <v>70</v>
      </c>
    </row>
    <row r="84" spans="1:19" ht="17.25" customHeight="1" x14ac:dyDescent="0.2">
      <c r="A84" s="2" t="str">
        <f t="shared" si="2"/>
        <v>83*N19-1455*LP 5E*Ply*2020*40</v>
      </c>
      <c r="B84" s="1" t="s">
        <v>60</v>
      </c>
      <c r="C84" s="1" t="s">
        <v>15</v>
      </c>
      <c r="D84" s="1" t="s">
        <v>16</v>
      </c>
      <c r="E84" s="1">
        <v>2020</v>
      </c>
      <c r="F84" s="1">
        <v>2</v>
      </c>
      <c r="G84" s="1">
        <v>40</v>
      </c>
      <c r="H84" s="4">
        <v>83</v>
      </c>
      <c r="J84" s="1">
        <v>45</v>
      </c>
      <c r="K84" s="1" t="s">
        <v>67</v>
      </c>
      <c r="L84" s="1">
        <v>1</v>
      </c>
      <c r="M84" s="1">
        <v>28</v>
      </c>
      <c r="N84" s="1">
        <v>1255.2</v>
      </c>
      <c r="O84" s="1">
        <v>10.7</v>
      </c>
      <c r="S84" s="1" t="s">
        <v>70</v>
      </c>
    </row>
    <row r="85" spans="1:19" ht="17.25" customHeight="1" x14ac:dyDescent="0.2">
      <c r="A85" s="2" t="str">
        <f t="shared" si="2"/>
        <v>84*N19-1128*LP 5E*Ply*2020*39</v>
      </c>
      <c r="B85" s="1" t="s">
        <v>37</v>
      </c>
      <c r="C85" s="1" t="s">
        <v>15</v>
      </c>
      <c r="D85" s="1" t="s">
        <v>16</v>
      </c>
      <c r="E85" s="1">
        <v>2020</v>
      </c>
      <c r="F85" s="1">
        <v>2</v>
      </c>
      <c r="G85" s="1">
        <v>39</v>
      </c>
      <c r="H85" s="4">
        <v>84</v>
      </c>
      <c r="J85" s="1">
        <v>56</v>
      </c>
      <c r="K85" s="1" t="s">
        <v>66</v>
      </c>
      <c r="L85" s="1">
        <v>1.5</v>
      </c>
      <c r="M85" s="1">
        <v>30</v>
      </c>
      <c r="N85" s="1">
        <v>1063</v>
      </c>
      <c r="O85" s="1">
        <v>12.3</v>
      </c>
      <c r="S85" s="1" t="s">
        <v>69</v>
      </c>
    </row>
    <row r="86" spans="1:19" ht="17.25" customHeight="1" x14ac:dyDescent="0.2">
      <c r="A86" s="2" t="str">
        <f t="shared" si="2"/>
        <v>85*N19-0256*LP 5E*Ply*2020*29</v>
      </c>
      <c r="B86" s="1" t="s">
        <v>24</v>
      </c>
      <c r="C86" s="1" t="s">
        <v>15</v>
      </c>
      <c r="D86" s="1" t="s">
        <v>16</v>
      </c>
      <c r="E86" s="1">
        <v>2020</v>
      </c>
      <c r="F86" s="1">
        <v>2</v>
      </c>
      <c r="G86" s="1">
        <v>29</v>
      </c>
      <c r="H86" s="4">
        <v>85</v>
      </c>
      <c r="J86" s="1">
        <v>45</v>
      </c>
      <c r="K86" s="1" t="s">
        <v>66</v>
      </c>
      <c r="L86" s="1">
        <v>1</v>
      </c>
      <c r="M86" s="1">
        <v>26</v>
      </c>
      <c r="N86" s="1">
        <v>1067.8</v>
      </c>
      <c r="O86" s="1">
        <v>12.1</v>
      </c>
      <c r="S86" s="1" t="s">
        <v>70</v>
      </c>
    </row>
    <row r="87" spans="1:19" ht="17.25" customHeight="1" x14ac:dyDescent="0.2">
      <c r="A87" s="2" t="str">
        <f t="shared" si="2"/>
        <v>86*N19-0280*LP 5E*Ply*2020*30</v>
      </c>
      <c r="B87" s="1" t="s">
        <v>25</v>
      </c>
      <c r="C87" s="1" t="s">
        <v>15</v>
      </c>
      <c r="D87" s="1" t="s">
        <v>16</v>
      </c>
      <c r="E87" s="1">
        <v>2020</v>
      </c>
      <c r="F87" s="1">
        <v>2</v>
      </c>
      <c r="G87" s="1">
        <v>30</v>
      </c>
      <c r="H87" s="4">
        <v>86</v>
      </c>
      <c r="J87" s="1">
        <v>47</v>
      </c>
      <c r="K87" s="1" t="s">
        <v>67</v>
      </c>
      <c r="L87" s="1">
        <v>2.5</v>
      </c>
      <c r="M87" s="1">
        <v>42</v>
      </c>
      <c r="N87" s="1">
        <v>1065.2</v>
      </c>
      <c r="O87" s="1">
        <v>14.6</v>
      </c>
      <c r="R87" s="1" t="s">
        <v>77</v>
      </c>
      <c r="S87" s="1" t="s">
        <v>71</v>
      </c>
    </row>
    <row r="88" spans="1:19" ht="17.25" customHeight="1" x14ac:dyDescent="0.2">
      <c r="A88" s="2" t="str">
        <f t="shared" si="2"/>
        <v>87*N19-0079*LP 5E*Ply*2020*9</v>
      </c>
      <c r="B88" s="1" t="s">
        <v>30</v>
      </c>
      <c r="C88" s="1" t="s">
        <v>15</v>
      </c>
      <c r="D88" s="1" t="s">
        <v>16</v>
      </c>
      <c r="E88" s="1">
        <v>2020</v>
      </c>
      <c r="F88" s="1">
        <v>2</v>
      </c>
      <c r="G88" s="1">
        <v>9</v>
      </c>
      <c r="H88" s="4">
        <v>87</v>
      </c>
      <c r="J88" s="1">
        <v>44</v>
      </c>
      <c r="K88" s="1" t="s">
        <v>67</v>
      </c>
      <c r="L88" s="1">
        <v>2.5</v>
      </c>
      <c r="M88" s="1">
        <v>47</v>
      </c>
      <c r="N88" s="1">
        <v>1174.0999999999999</v>
      </c>
      <c r="O88" s="1">
        <v>11.2</v>
      </c>
      <c r="R88" s="1" t="s">
        <v>77</v>
      </c>
      <c r="S88" s="1" t="s">
        <v>71</v>
      </c>
    </row>
    <row r="89" spans="1:19" ht="17.25" customHeight="1" x14ac:dyDescent="0.2">
      <c r="A89" s="2" t="str">
        <f t="shared" si="2"/>
        <v>88*N19-0525*LP 5E*Ply*2020*35</v>
      </c>
      <c r="B89" s="1" t="s">
        <v>27</v>
      </c>
      <c r="C89" s="1" t="s">
        <v>15</v>
      </c>
      <c r="D89" s="1" t="s">
        <v>16</v>
      </c>
      <c r="E89" s="1">
        <v>2020</v>
      </c>
      <c r="F89" s="1">
        <v>2</v>
      </c>
      <c r="G89" s="1">
        <v>35</v>
      </c>
      <c r="H89" s="4">
        <v>88</v>
      </c>
      <c r="J89" s="1">
        <v>44</v>
      </c>
      <c r="K89" s="1" t="s">
        <v>67</v>
      </c>
      <c r="L89" s="1">
        <v>1</v>
      </c>
      <c r="M89" s="1">
        <v>22</v>
      </c>
      <c r="N89" s="1">
        <v>1214.7</v>
      </c>
      <c r="O89" s="1">
        <v>13.1</v>
      </c>
      <c r="S89" s="1" t="s">
        <v>70</v>
      </c>
    </row>
    <row r="90" spans="1:19" ht="17.25" customHeight="1" x14ac:dyDescent="0.2">
      <c r="A90" s="2" t="str">
        <f t="shared" si="2"/>
        <v>89*N19-0096*LP 5E*Ply*2020*12</v>
      </c>
      <c r="B90" s="1" t="s">
        <v>31</v>
      </c>
      <c r="C90" s="1" t="s">
        <v>15</v>
      </c>
      <c r="D90" s="1" t="s">
        <v>16</v>
      </c>
      <c r="E90" s="1">
        <v>2020</v>
      </c>
      <c r="F90" s="1">
        <v>2</v>
      </c>
      <c r="G90" s="1">
        <v>12</v>
      </c>
      <c r="H90" s="4">
        <v>89</v>
      </c>
      <c r="J90" s="1">
        <v>45</v>
      </c>
      <c r="K90" s="1" t="s">
        <v>68</v>
      </c>
      <c r="L90" s="1">
        <v>1.5</v>
      </c>
      <c r="M90" s="1">
        <v>30</v>
      </c>
      <c r="N90" s="1">
        <v>1191.0999999999999</v>
      </c>
      <c r="O90" s="1">
        <v>11.7</v>
      </c>
      <c r="S90" s="1" t="s">
        <v>70</v>
      </c>
    </row>
    <row r="91" spans="1:19" ht="17.25" customHeight="1" x14ac:dyDescent="0.2">
      <c r="A91" s="2" t="str">
        <f t="shared" si="2"/>
        <v>90*N19-0238*LP 5E*Ply*2020*27</v>
      </c>
      <c r="B91" s="1" t="s">
        <v>53</v>
      </c>
      <c r="C91" s="1" t="s">
        <v>15</v>
      </c>
      <c r="D91" s="1" t="s">
        <v>16</v>
      </c>
      <c r="E91" s="1">
        <v>2020</v>
      </c>
      <c r="F91" s="1">
        <v>2</v>
      </c>
      <c r="G91" s="1">
        <v>27</v>
      </c>
      <c r="H91" s="4">
        <v>90</v>
      </c>
      <c r="J91" s="1">
        <v>46</v>
      </c>
      <c r="K91" s="1" t="s">
        <v>67</v>
      </c>
      <c r="L91" s="1">
        <v>1.5</v>
      </c>
      <c r="M91" s="1">
        <v>29</v>
      </c>
      <c r="N91" s="1">
        <v>1218.3</v>
      </c>
      <c r="O91" s="1">
        <v>13.7</v>
      </c>
      <c r="S91" s="1" t="s">
        <v>70</v>
      </c>
    </row>
    <row r="92" spans="1:19" ht="17.25" customHeight="1" x14ac:dyDescent="0.2">
      <c r="A92" s="2" t="str">
        <f t="shared" si="2"/>
        <v>91*N19-0231*LP 5E*Ply*2020*25</v>
      </c>
      <c r="B92" s="1" t="s">
        <v>41</v>
      </c>
      <c r="C92" s="1" t="s">
        <v>15</v>
      </c>
      <c r="D92" s="1" t="s">
        <v>16</v>
      </c>
      <c r="E92" s="1">
        <v>2020</v>
      </c>
      <c r="F92" s="1">
        <v>3</v>
      </c>
      <c r="G92" s="1">
        <v>25</v>
      </c>
      <c r="H92" s="4">
        <v>91</v>
      </c>
      <c r="K92" s="1" t="s">
        <v>68</v>
      </c>
      <c r="L92" s="1">
        <v>2</v>
      </c>
      <c r="M92" s="1">
        <v>25</v>
      </c>
      <c r="N92" s="1">
        <v>893.5</v>
      </c>
      <c r="O92" s="1">
        <v>12.6</v>
      </c>
      <c r="S92" s="1" t="s">
        <v>70</v>
      </c>
    </row>
    <row r="93" spans="1:19" ht="17.25" customHeight="1" x14ac:dyDescent="0.2">
      <c r="A93" s="2" t="str">
        <f t="shared" si="2"/>
        <v>92*N19-0096*LP 5E*Ply*2020*12</v>
      </c>
      <c r="B93" s="1" t="s">
        <v>31</v>
      </c>
      <c r="C93" s="1" t="s">
        <v>15</v>
      </c>
      <c r="D93" s="1" t="s">
        <v>16</v>
      </c>
      <c r="E93" s="1">
        <v>2020</v>
      </c>
      <c r="F93" s="1">
        <v>3</v>
      </c>
      <c r="G93" s="1">
        <v>12</v>
      </c>
      <c r="H93" s="4">
        <v>92</v>
      </c>
      <c r="K93" s="1" t="s">
        <v>66</v>
      </c>
      <c r="L93" s="1">
        <v>2</v>
      </c>
      <c r="M93" s="1">
        <v>26</v>
      </c>
      <c r="N93" s="1">
        <v>1151.4000000000001</v>
      </c>
      <c r="O93" s="1">
        <v>14.7</v>
      </c>
      <c r="S93" s="1" t="s">
        <v>70</v>
      </c>
    </row>
    <row r="94" spans="1:19" ht="17.25" customHeight="1" x14ac:dyDescent="0.2">
      <c r="A94" s="2" t="str">
        <f t="shared" si="2"/>
        <v>93*N19-0255*LP 5E*Ply*2020*28</v>
      </c>
      <c r="B94" s="1" t="s">
        <v>52</v>
      </c>
      <c r="C94" s="1" t="s">
        <v>15</v>
      </c>
      <c r="D94" s="1" t="s">
        <v>16</v>
      </c>
      <c r="E94" s="1">
        <v>2020</v>
      </c>
      <c r="F94" s="1">
        <v>3</v>
      </c>
      <c r="G94" s="1">
        <v>28</v>
      </c>
      <c r="H94" s="4">
        <v>93</v>
      </c>
      <c r="K94" s="1" t="s">
        <v>68</v>
      </c>
      <c r="L94" s="1">
        <v>1</v>
      </c>
      <c r="M94" s="1">
        <v>26</v>
      </c>
      <c r="N94" s="1">
        <v>1030.4000000000001</v>
      </c>
      <c r="O94" s="1">
        <v>11.9</v>
      </c>
      <c r="S94" s="1" t="s">
        <v>70</v>
      </c>
    </row>
    <row r="95" spans="1:19" ht="17.25" customHeight="1" x14ac:dyDescent="0.2">
      <c r="A95" s="2" t="str">
        <f t="shared" si="2"/>
        <v>94*N19-0171*LP 5E*Ply*2020*19</v>
      </c>
      <c r="B95" s="1" t="s">
        <v>18</v>
      </c>
      <c r="C95" s="1" t="s">
        <v>15</v>
      </c>
      <c r="D95" s="1" t="s">
        <v>16</v>
      </c>
      <c r="E95" s="1">
        <v>2020</v>
      </c>
      <c r="F95" s="1">
        <v>3</v>
      </c>
      <c r="G95" s="1">
        <v>19</v>
      </c>
      <c r="H95" s="4">
        <v>94</v>
      </c>
      <c r="K95" s="1" t="s">
        <v>67</v>
      </c>
      <c r="L95" s="1">
        <v>2</v>
      </c>
      <c r="M95" s="1">
        <v>25</v>
      </c>
      <c r="N95" s="1">
        <v>1136.5</v>
      </c>
      <c r="O95" s="1">
        <v>12.3</v>
      </c>
      <c r="S95" s="1" t="s">
        <v>70</v>
      </c>
    </row>
    <row r="96" spans="1:19" ht="17.25" customHeight="1" x14ac:dyDescent="0.2">
      <c r="A96" s="2" t="str">
        <f t="shared" si="2"/>
        <v>95*Osage*LP 5E*Ply*2020*42</v>
      </c>
      <c r="B96" s="1" t="s">
        <v>45</v>
      </c>
      <c r="C96" s="1" t="s">
        <v>15</v>
      </c>
      <c r="D96" s="1" t="s">
        <v>16</v>
      </c>
      <c r="E96" s="1">
        <v>2020</v>
      </c>
      <c r="F96" s="1">
        <v>3</v>
      </c>
      <c r="G96" s="1">
        <v>42</v>
      </c>
      <c r="H96" s="4">
        <v>95</v>
      </c>
      <c r="K96" s="1" t="s">
        <v>68</v>
      </c>
      <c r="L96" s="1">
        <v>2</v>
      </c>
      <c r="M96" s="1">
        <v>29</v>
      </c>
      <c r="N96" s="1">
        <v>1103.8</v>
      </c>
      <c r="O96" s="1">
        <v>13.5</v>
      </c>
      <c r="S96" s="1" t="s">
        <v>70</v>
      </c>
    </row>
    <row r="97" spans="1:19" ht="17.25" customHeight="1" x14ac:dyDescent="0.2">
      <c r="A97" s="2" t="str">
        <f t="shared" si="2"/>
        <v>96*N19-0573*LP 5E*Ply*2020*36</v>
      </c>
      <c r="B97" s="1" t="s">
        <v>43</v>
      </c>
      <c r="C97" s="1" t="s">
        <v>15</v>
      </c>
      <c r="D97" s="1" t="s">
        <v>16</v>
      </c>
      <c r="E97" s="1">
        <v>2020</v>
      </c>
      <c r="F97" s="1">
        <v>3</v>
      </c>
      <c r="G97" s="1">
        <v>36</v>
      </c>
      <c r="H97" s="4">
        <v>96</v>
      </c>
      <c r="K97" s="1" t="s">
        <v>66</v>
      </c>
      <c r="L97" s="1">
        <v>1.5</v>
      </c>
      <c r="M97" s="1">
        <v>24</v>
      </c>
      <c r="N97" s="1">
        <v>1175.5999999999999</v>
      </c>
      <c r="O97" s="1">
        <v>14.4</v>
      </c>
      <c r="S97" s="1" t="s">
        <v>70</v>
      </c>
    </row>
    <row r="98" spans="1:19" ht="17.25" customHeight="1" x14ac:dyDescent="0.2">
      <c r="A98" s="2" t="str">
        <f t="shared" ref="A98:A129" si="3">CONCATENATE(H98,"*",B98,"*",D98,"*",C98,"*",E98,"*",G98)</f>
        <v>97*N19-0219*LP 5E*Ply*2020*24</v>
      </c>
      <c r="B98" s="1" t="s">
        <v>22</v>
      </c>
      <c r="C98" s="1" t="s">
        <v>15</v>
      </c>
      <c r="D98" s="1" t="s">
        <v>16</v>
      </c>
      <c r="E98" s="1">
        <v>2020</v>
      </c>
      <c r="F98" s="1">
        <v>3</v>
      </c>
      <c r="G98" s="1">
        <v>24</v>
      </c>
      <c r="H98" s="4">
        <v>97</v>
      </c>
      <c r="K98" s="1" t="s">
        <v>67</v>
      </c>
      <c r="L98" s="1">
        <v>1</v>
      </c>
      <c r="M98" s="1">
        <v>24</v>
      </c>
      <c r="N98" s="1">
        <v>1015.4</v>
      </c>
      <c r="O98" s="1">
        <v>13.4</v>
      </c>
      <c r="S98" s="1" t="s">
        <v>70</v>
      </c>
    </row>
    <row r="99" spans="1:19" ht="17.25" customHeight="1" x14ac:dyDescent="0.2">
      <c r="A99" s="2" t="str">
        <f t="shared" si="3"/>
        <v>98*N19-0232*LP 5E*Ply*2020*26</v>
      </c>
      <c r="B99" s="1" t="s">
        <v>35</v>
      </c>
      <c r="C99" s="1" t="s">
        <v>15</v>
      </c>
      <c r="D99" s="1" t="s">
        <v>16</v>
      </c>
      <c r="E99" s="1">
        <v>2020</v>
      </c>
      <c r="F99" s="1">
        <v>3</v>
      </c>
      <c r="G99" s="1">
        <v>26</v>
      </c>
      <c r="H99" s="4">
        <v>98</v>
      </c>
      <c r="K99" s="1" t="s">
        <v>67</v>
      </c>
      <c r="L99" s="1">
        <v>1</v>
      </c>
      <c r="M99" s="1">
        <v>24</v>
      </c>
      <c r="N99" s="1">
        <v>997.9</v>
      </c>
      <c r="O99" s="1">
        <v>14.7</v>
      </c>
      <c r="S99" s="1" t="s">
        <v>70</v>
      </c>
    </row>
    <row r="100" spans="1:19" ht="17.25" customHeight="1" x14ac:dyDescent="0.2">
      <c r="A100" s="2" t="str">
        <f t="shared" si="3"/>
        <v>99*N19-0212*LP 5E*Ply*2020*23</v>
      </c>
      <c r="B100" s="1" t="s">
        <v>48</v>
      </c>
      <c r="C100" s="1" t="s">
        <v>15</v>
      </c>
      <c r="D100" s="1" t="s">
        <v>16</v>
      </c>
      <c r="E100" s="1">
        <v>2020</v>
      </c>
      <c r="F100" s="1">
        <v>3</v>
      </c>
      <c r="G100" s="1">
        <v>23</v>
      </c>
      <c r="H100" s="4">
        <v>99</v>
      </c>
      <c r="K100" s="1" t="s">
        <v>67</v>
      </c>
      <c r="L100" s="1">
        <v>1.5</v>
      </c>
      <c r="M100" s="1">
        <v>34</v>
      </c>
      <c r="N100" s="1">
        <v>1387.2</v>
      </c>
      <c r="O100" s="1">
        <v>13.8</v>
      </c>
      <c r="S100" s="1" t="s">
        <v>69</v>
      </c>
    </row>
    <row r="101" spans="1:19" ht="17.25" customHeight="1" x14ac:dyDescent="0.2">
      <c r="A101" s="2" t="str">
        <f t="shared" si="3"/>
        <v>100*N19-0030*LP 5E*Ply*2020*4</v>
      </c>
      <c r="B101" s="1" t="s">
        <v>20</v>
      </c>
      <c r="C101" s="1" t="s">
        <v>15</v>
      </c>
      <c r="D101" s="1" t="s">
        <v>16</v>
      </c>
      <c r="E101" s="1">
        <v>2020</v>
      </c>
      <c r="F101" s="1">
        <v>3</v>
      </c>
      <c r="G101" s="1">
        <v>4</v>
      </c>
      <c r="H101" s="4">
        <v>100</v>
      </c>
      <c r="K101" s="1" t="s">
        <v>67</v>
      </c>
      <c r="L101" s="1">
        <v>1</v>
      </c>
      <c r="M101" s="1">
        <v>23</v>
      </c>
      <c r="N101" s="1">
        <v>1025.4000000000001</v>
      </c>
      <c r="O101" s="1">
        <v>11.9</v>
      </c>
      <c r="S101" s="1" t="s">
        <v>70</v>
      </c>
    </row>
    <row r="102" spans="1:19" ht="17.25" customHeight="1" x14ac:dyDescent="0.2">
      <c r="A102" s="2" t="str">
        <f t="shared" si="3"/>
        <v>101*N19-0008*LP 5E*Ply*2020*3</v>
      </c>
      <c r="B102" s="1" t="s">
        <v>59</v>
      </c>
      <c r="C102" s="1" t="s">
        <v>15</v>
      </c>
      <c r="D102" s="1" t="s">
        <v>16</v>
      </c>
      <c r="E102" s="1">
        <v>2020</v>
      </c>
      <c r="F102" s="1">
        <v>3</v>
      </c>
      <c r="G102" s="1">
        <v>3</v>
      </c>
      <c r="H102" s="4">
        <v>101</v>
      </c>
      <c r="K102" s="1" t="s">
        <v>66</v>
      </c>
      <c r="L102" s="1">
        <v>1</v>
      </c>
      <c r="M102" s="1">
        <v>24</v>
      </c>
      <c r="N102" s="1">
        <v>935.1</v>
      </c>
      <c r="O102" s="1">
        <v>10.199999999999999</v>
      </c>
      <c r="S102" s="1" t="s">
        <v>70</v>
      </c>
    </row>
    <row r="103" spans="1:19" ht="17.25" customHeight="1" x14ac:dyDescent="0.2">
      <c r="A103" s="2" t="str">
        <f t="shared" si="3"/>
        <v>102*N19-1128*LP 5E*Ply*2020*39</v>
      </c>
      <c r="B103" s="1" t="s">
        <v>37</v>
      </c>
      <c r="C103" s="1" t="s">
        <v>15</v>
      </c>
      <c r="D103" s="1" t="s">
        <v>16</v>
      </c>
      <c r="E103" s="1">
        <v>2020</v>
      </c>
      <c r="F103" s="1">
        <v>3</v>
      </c>
      <c r="G103" s="1">
        <v>39</v>
      </c>
      <c r="H103" s="4">
        <v>102</v>
      </c>
      <c r="K103" s="1" t="s">
        <v>67</v>
      </c>
      <c r="L103" s="1">
        <v>1.5</v>
      </c>
      <c r="M103" s="1">
        <v>30</v>
      </c>
      <c r="N103" s="1">
        <v>1120.0999999999999</v>
      </c>
      <c r="O103" s="1">
        <v>14.9</v>
      </c>
      <c r="S103" s="1" t="s">
        <v>70</v>
      </c>
    </row>
    <row r="104" spans="1:19" ht="17.25" customHeight="1" x14ac:dyDescent="0.2">
      <c r="A104" s="2" t="str">
        <f t="shared" si="3"/>
        <v>103*N19-0367*LP 5E*Ply*2020*31</v>
      </c>
      <c r="B104" s="1" t="s">
        <v>47</v>
      </c>
      <c r="C104" s="1" t="s">
        <v>15</v>
      </c>
      <c r="D104" s="1" t="s">
        <v>16</v>
      </c>
      <c r="E104" s="1">
        <v>2020</v>
      </c>
      <c r="F104" s="1">
        <v>3</v>
      </c>
      <c r="G104" s="1">
        <v>31</v>
      </c>
      <c r="H104" s="4">
        <v>103</v>
      </c>
      <c r="K104" s="1" t="s">
        <v>67</v>
      </c>
      <c r="L104" s="1">
        <v>2.5</v>
      </c>
      <c r="M104" s="1">
        <v>44</v>
      </c>
      <c r="N104" s="1">
        <v>743.2</v>
      </c>
      <c r="O104" s="1">
        <v>13.2</v>
      </c>
      <c r="Q104" s="1" t="s">
        <v>76</v>
      </c>
      <c r="S104" s="1" t="s">
        <v>71</v>
      </c>
    </row>
    <row r="105" spans="1:19" ht="17.25" customHeight="1" x14ac:dyDescent="0.2">
      <c r="A105" s="2" t="str">
        <f t="shared" si="3"/>
        <v>104*N19-0079*LP 5E*Ply*2020*9</v>
      </c>
      <c r="B105" s="1" t="s">
        <v>30</v>
      </c>
      <c r="C105" s="1" t="s">
        <v>15</v>
      </c>
      <c r="D105" s="1" t="s">
        <v>16</v>
      </c>
      <c r="E105" s="1">
        <v>2020</v>
      </c>
      <c r="F105" s="1">
        <v>3</v>
      </c>
      <c r="G105" s="1">
        <v>9</v>
      </c>
      <c r="H105" s="4">
        <v>104</v>
      </c>
      <c r="K105" s="1" t="s">
        <v>67</v>
      </c>
      <c r="L105" s="1">
        <v>1.5</v>
      </c>
      <c r="M105" s="1">
        <v>23</v>
      </c>
      <c r="N105" s="1">
        <v>1070.4000000000001</v>
      </c>
      <c r="O105" s="1">
        <v>12.2</v>
      </c>
      <c r="S105" s="1" t="s">
        <v>70</v>
      </c>
    </row>
    <row r="106" spans="1:19" ht="17.25" customHeight="1" x14ac:dyDescent="0.2">
      <c r="A106" s="2" t="str">
        <f t="shared" si="3"/>
        <v>105*N19-0148*LP 5E*Ply*2020*15</v>
      </c>
      <c r="B106" s="1" t="s">
        <v>56</v>
      </c>
      <c r="C106" s="1" t="s">
        <v>15</v>
      </c>
      <c r="D106" s="1" t="s">
        <v>16</v>
      </c>
      <c r="E106" s="1">
        <v>2020</v>
      </c>
      <c r="F106" s="1">
        <v>3</v>
      </c>
      <c r="G106" s="1">
        <v>15</v>
      </c>
      <c r="H106" s="4">
        <v>105</v>
      </c>
      <c r="K106" s="1" t="s">
        <v>66</v>
      </c>
      <c r="L106" s="1">
        <v>2.5</v>
      </c>
      <c r="M106" s="1">
        <v>36</v>
      </c>
      <c r="N106" s="1">
        <v>1106.5</v>
      </c>
      <c r="O106" s="1">
        <v>12.6</v>
      </c>
      <c r="R106" s="1" t="s">
        <v>75</v>
      </c>
      <c r="S106" s="1" t="s">
        <v>71</v>
      </c>
    </row>
    <row r="107" spans="1:19" ht="17.25" customHeight="1" x14ac:dyDescent="0.2">
      <c r="A107" s="2" t="str">
        <f t="shared" si="3"/>
        <v>106*N19-0167*LP 5E*Ply*2020*18</v>
      </c>
      <c r="B107" s="1" t="s">
        <v>54</v>
      </c>
      <c r="C107" s="1" t="s">
        <v>15</v>
      </c>
      <c r="D107" s="1" t="s">
        <v>16</v>
      </c>
      <c r="E107" s="1">
        <v>2020</v>
      </c>
      <c r="F107" s="1">
        <v>3</v>
      </c>
      <c r="G107" s="1">
        <v>18</v>
      </c>
      <c r="H107" s="4">
        <v>106</v>
      </c>
      <c r="K107" s="1" t="s">
        <v>67</v>
      </c>
      <c r="L107" s="1">
        <v>2</v>
      </c>
      <c r="M107" s="1">
        <v>40</v>
      </c>
      <c r="N107" s="1">
        <v>1037.2</v>
      </c>
      <c r="O107" s="1">
        <v>12.5</v>
      </c>
      <c r="S107" s="1" t="s">
        <v>71</v>
      </c>
    </row>
    <row r="108" spans="1:19" ht="17.25" customHeight="1" x14ac:dyDescent="0.2">
      <c r="A108" s="2" t="str">
        <f t="shared" si="3"/>
        <v>107*N19-0434*LP 5E*Ply*2020*33</v>
      </c>
      <c r="B108" s="1" t="s">
        <v>39</v>
      </c>
      <c r="C108" s="1" t="s">
        <v>15</v>
      </c>
      <c r="D108" s="1" t="s">
        <v>16</v>
      </c>
      <c r="E108" s="1">
        <v>2020</v>
      </c>
      <c r="F108" s="1">
        <v>3</v>
      </c>
      <c r="G108" s="1">
        <v>33</v>
      </c>
      <c r="H108" s="4">
        <v>107</v>
      </c>
      <c r="K108" s="1" t="s">
        <v>66</v>
      </c>
      <c r="L108" s="1">
        <v>1</v>
      </c>
      <c r="M108" s="1">
        <v>26</v>
      </c>
      <c r="N108" s="1">
        <v>1151.5999999999999</v>
      </c>
      <c r="O108" s="1">
        <v>10.3</v>
      </c>
      <c r="S108" s="1" t="s">
        <v>70</v>
      </c>
    </row>
    <row r="109" spans="1:19" ht="17.25" customHeight="1" x14ac:dyDescent="0.2">
      <c r="A109" s="2" t="str">
        <f t="shared" si="3"/>
        <v>108*N19-0208*LP 5E*Ply*2020*22</v>
      </c>
      <c r="B109" s="1" t="s">
        <v>34</v>
      </c>
      <c r="C109" s="1" t="s">
        <v>15</v>
      </c>
      <c r="D109" s="1" t="s">
        <v>16</v>
      </c>
      <c r="E109" s="1">
        <v>2020</v>
      </c>
      <c r="F109" s="1">
        <v>3</v>
      </c>
      <c r="G109" s="1">
        <v>22</v>
      </c>
      <c r="H109" s="4">
        <v>108</v>
      </c>
      <c r="K109" s="1" t="s">
        <v>67</v>
      </c>
      <c r="L109" s="1">
        <v>2</v>
      </c>
      <c r="M109" s="1">
        <v>54</v>
      </c>
      <c r="N109" s="1">
        <v>1150.8</v>
      </c>
      <c r="O109" s="1">
        <v>14</v>
      </c>
      <c r="Q109" s="1" t="s">
        <v>79</v>
      </c>
      <c r="S109" s="1" t="s">
        <v>71</v>
      </c>
    </row>
    <row r="110" spans="1:19" ht="17.25" customHeight="1" x14ac:dyDescent="0.2">
      <c r="A110" s="2" t="str">
        <f t="shared" si="3"/>
        <v>109*N19-0087*LP 5E*Ply*2020*10</v>
      </c>
      <c r="B110" s="1" t="s">
        <v>14</v>
      </c>
      <c r="C110" s="1" t="s">
        <v>15</v>
      </c>
      <c r="D110" s="1" t="s">
        <v>16</v>
      </c>
      <c r="E110" s="1">
        <v>2020</v>
      </c>
      <c r="F110" s="1">
        <v>3</v>
      </c>
      <c r="G110" s="1">
        <v>10</v>
      </c>
      <c r="H110" s="4">
        <v>109</v>
      </c>
      <c r="K110" s="1" t="s">
        <v>67</v>
      </c>
      <c r="L110" s="1">
        <v>2.5</v>
      </c>
      <c r="M110" s="1">
        <v>39</v>
      </c>
      <c r="N110" s="1">
        <v>1063.8</v>
      </c>
      <c r="O110" s="1">
        <v>14.3</v>
      </c>
      <c r="S110" s="1" t="s">
        <v>71</v>
      </c>
    </row>
    <row r="111" spans="1:19" ht="17.25" customHeight="1" x14ac:dyDescent="0.2">
      <c r="A111" s="2" t="str">
        <f t="shared" si="3"/>
        <v>110*N19-0155*LP 5E*Ply*2020*16</v>
      </c>
      <c r="B111" s="1" t="s">
        <v>55</v>
      </c>
      <c r="C111" s="1" t="s">
        <v>15</v>
      </c>
      <c r="D111" s="1" t="s">
        <v>16</v>
      </c>
      <c r="E111" s="1">
        <v>2020</v>
      </c>
      <c r="F111" s="1">
        <v>3</v>
      </c>
      <c r="G111" s="1">
        <v>16</v>
      </c>
      <c r="H111" s="4">
        <v>110</v>
      </c>
      <c r="K111" s="1" t="s">
        <v>67</v>
      </c>
      <c r="L111" s="1">
        <v>1.5</v>
      </c>
      <c r="M111" s="1">
        <v>26</v>
      </c>
      <c r="N111" s="1">
        <v>942.1</v>
      </c>
      <c r="O111" s="1">
        <v>15</v>
      </c>
      <c r="S111" s="1" t="s">
        <v>70</v>
      </c>
    </row>
    <row r="112" spans="1:19" ht="17.25" customHeight="1" x14ac:dyDescent="0.2">
      <c r="A112" s="2" t="str">
        <f t="shared" si="3"/>
        <v>111*N16-601*LP 5E*Ply*2020*44</v>
      </c>
      <c r="B112" s="1" t="s">
        <v>26</v>
      </c>
      <c r="C112" s="1" t="s">
        <v>15</v>
      </c>
      <c r="D112" s="1" t="s">
        <v>16</v>
      </c>
      <c r="E112" s="1">
        <v>2020</v>
      </c>
      <c r="F112" s="1">
        <v>3</v>
      </c>
      <c r="G112" s="1">
        <v>44</v>
      </c>
      <c r="H112" s="4">
        <v>111</v>
      </c>
      <c r="K112" s="1" t="s">
        <v>67</v>
      </c>
      <c r="L112" s="1">
        <v>1</v>
      </c>
      <c r="M112" s="1">
        <v>23</v>
      </c>
      <c r="N112" s="1">
        <v>783.3</v>
      </c>
      <c r="O112" s="1">
        <v>12.8</v>
      </c>
      <c r="S112" s="1" t="s">
        <v>70</v>
      </c>
    </row>
    <row r="113" spans="1:19" ht="17.25" customHeight="1" x14ac:dyDescent="0.2">
      <c r="A113" s="2" t="str">
        <f t="shared" si="3"/>
        <v>112*N19-0034*LP 5E*Ply*2020*6</v>
      </c>
      <c r="B113" s="1" t="s">
        <v>32</v>
      </c>
      <c r="C113" s="1" t="s">
        <v>15</v>
      </c>
      <c r="D113" s="1" t="s">
        <v>16</v>
      </c>
      <c r="E113" s="1">
        <v>2020</v>
      </c>
      <c r="F113" s="1">
        <v>3</v>
      </c>
      <c r="G113" s="1">
        <v>6</v>
      </c>
      <c r="H113" s="4">
        <v>112</v>
      </c>
      <c r="K113" s="1" t="s">
        <v>67</v>
      </c>
      <c r="L113" s="1">
        <v>2</v>
      </c>
      <c r="M113" s="1">
        <v>46</v>
      </c>
      <c r="N113" s="1">
        <v>1174.4000000000001</v>
      </c>
      <c r="O113" s="1">
        <v>15.2</v>
      </c>
      <c r="S113" s="1" t="s">
        <v>71</v>
      </c>
    </row>
    <row r="114" spans="1:19" ht="17.25" customHeight="1" x14ac:dyDescent="0.2">
      <c r="A114" s="2" t="str">
        <f t="shared" si="3"/>
        <v>113*N19-0525*LP 5E*Ply*2020*35</v>
      </c>
      <c r="B114" s="1" t="s">
        <v>27</v>
      </c>
      <c r="C114" s="1" t="s">
        <v>15</v>
      </c>
      <c r="D114" s="1" t="s">
        <v>16</v>
      </c>
      <c r="E114" s="1">
        <v>2020</v>
      </c>
      <c r="F114" s="1">
        <v>3</v>
      </c>
      <c r="G114" s="1">
        <v>35</v>
      </c>
      <c r="H114" s="4">
        <v>113</v>
      </c>
      <c r="K114" s="1" t="s">
        <v>66</v>
      </c>
      <c r="L114" s="1">
        <v>1</v>
      </c>
      <c r="M114" s="1">
        <v>24</v>
      </c>
      <c r="N114" s="1">
        <v>1124.7</v>
      </c>
      <c r="O114" s="1">
        <v>14.5</v>
      </c>
      <c r="S114" s="1" t="s">
        <v>70</v>
      </c>
    </row>
    <row r="115" spans="1:19" ht="17.25" customHeight="1" x14ac:dyDescent="0.2">
      <c r="A115" s="2" t="str">
        <f t="shared" si="3"/>
        <v>114*Miller*LP 5E*Ply*2020*43</v>
      </c>
      <c r="B115" s="1" t="s">
        <v>17</v>
      </c>
      <c r="C115" s="1" t="s">
        <v>15</v>
      </c>
      <c r="D115" s="1" t="s">
        <v>16</v>
      </c>
      <c r="E115" s="1">
        <v>2020</v>
      </c>
      <c r="F115" s="1">
        <v>3</v>
      </c>
      <c r="G115" s="1">
        <v>43</v>
      </c>
      <c r="H115" s="4">
        <v>114</v>
      </c>
      <c r="K115" s="1" t="s">
        <v>68</v>
      </c>
      <c r="L115" s="1">
        <v>1.5</v>
      </c>
      <c r="M115" s="1">
        <v>26</v>
      </c>
      <c r="N115" s="1">
        <v>1108.9000000000001</v>
      </c>
      <c r="O115" s="1">
        <v>14.7</v>
      </c>
      <c r="S115" s="1" t="s">
        <v>70</v>
      </c>
    </row>
    <row r="116" spans="1:19" ht="17.25" customHeight="1" x14ac:dyDescent="0.2">
      <c r="A116" s="2" t="str">
        <f t="shared" si="3"/>
        <v>115*N19-0280*LP 5E*Ply*2020*30</v>
      </c>
      <c r="B116" s="1" t="s">
        <v>25</v>
      </c>
      <c r="C116" s="1" t="s">
        <v>15</v>
      </c>
      <c r="D116" s="1" t="s">
        <v>16</v>
      </c>
      <c r="E116" s="1">
        <v>2020</v>
      </c>
      <c r="F116" s="1">
        <v>3</v>
      </c>
      <c r="G116" s="1">
        <v>30</v>
      </c>
      <c r="H116" s="4">
        <v>115</v>
      </c>
      <c r="K116" s="1" t="s">
        <v>67</v>
      </c>
      <c r="L116" s="1">
        <v>2.5</v>
      </c>
      <c r="M116" s="1">
        <v>28</v>
      </c>
      <c r="N116" s="1">
        <v>1104.8</v>
      </c>
      <c r="O116" s="1">
        <v>15.4</v>
      </c>
      <c r="S116" s="1" t="s">
        <v>70</v>
      </c>
    </row>
    <row r="117" spans="1:19" ht="17.25" customHeight="1" x14ac:dyDescent="0.2">
      <c r="A117" s="2" t="str">
        <f t="shared" si="3"/>
        <v>116*N19-1103*LP 5E*Ply*2020*38</v>
      </c>
      <c r="B117" s="1" t="s">
        <v>40</v>
      </c>
      <c r="C117" s="1" t="s">
        <v>15</v>
      </c>
      <c r="D117" s="1" t="s">
        <v>16</v>
      </c>
      <c r="E117" s="1">
        <v>2020</v>
      </c>
      <c r="F117" s="1">
        <v>3</v>
      </c>
      <c r="G117" s="1">
        <v>38</v>
      </c>
      <c r="H117" s="4">
        <v>116</v>
      </c>
      <c r="K117" s="1" t="s">
        <v>66</v>
      </c>
      <c r="L117" s="1">
        <v>1.5</v>
      </c>
      <c r="M117" s="1">
        <v>22</v>
      </c>
      <c r="N117" s="1">
        <v>814.5</v>
      </c>
      <c r="O117" s="1">
        <v>14.8</v>
      </c>
      <c r="S117" s="1" t="s">
        <v>70</v>
      </c>
    </row>
    <row r="118" spans="1:19" ht="17.25" customHeight="1" x14ac:dyDescent="0.2">
      <c r="A118" s="2" t="str">
        <f t="shared" si="3"/>
        <v>117*N19-0095*LP 5E*Ply*2020*11</v>
      </c>
      <c r="B118" s="1" t="s">
        <v>36</v>
      </c>
      <c r="C118" s="1" t="s">
        <v>15</v>
      </c>
      <c r="D118" s="1" t="s">
        <v>16</v>
      </c>
      <c r="E118" s="1">
        <v>2020</v>
      </c>
      <c r="F118" s="1">
        <v>3</v>
      </c>
      <c r="G118" s="1">
        <v>11</v>
      </c>
      <c r="H118" s="4">
        <v>117</v>
      </c>
      <c r="K118" s="1" t="s">
        <v>67</v>
      </c>
      <c r="L118" s="1">
        <v>1.5</v>
      </c>
      <c r="M118" s="1">
        <v>24</v>
      </c>
      <c r="N118" s="1">
        <v>1238.0999999999999</v>
      </c>
      <c r="O118" s="1">
        <v>12.7</v>
      </c>
      <c r="S118" s="1" t="s">
        <v>70</v>
      </c>
    </row>
    <row r="119" spans="1:19" ht="17.25" customHeight="1" x14ac:dyDescent="0.2">
      <c r="A119" s="2" t="str">
        <f t="shared" si="3"/>
        <v>118*N19-1097*LP 5E*Ply*2020*37</v>
      </c>
      <c r="B119" s="1" t="s">
        <v>58</v>
      </c>
      <c r="C119" s="1" t="s">
        <v>15</v>
      </c>
      <c r="D119" s="1" t="s">
        <v>16</v>
      </c>
      <c r="E119" s="1">
        <v>2020</v>
      </c>
      <c r="F119" s="1">
        <v>3</v>
      </c>
      <c r="G119" s="1">
        <v>37</v>
      </c>
      <c r="H119" s="4">
        <v>118</v>
      </c>
      <c r="K119" s="1" t="s">
        <v>67</v>
      </c>
      <c r="L119" s="1">
        <v>1.5</v>
      </c>
      <c r="M119" s="1">
        <v>32</v>
      </c>
      <c r="N119" s="1">
        <v>1220.3</v>
      </c>
      <c r="O119" s="1">
        <v>14.5</v>
      </c>
      <c r="S119" s="1" t="s">
        <v>70</v>
      </c>
    </row>
    <row r="120" spans="1:19" ht="17.25" customHeight="1" x14ac:dyDescent="0.2">
      <c r="A120" s="2" t="str">
        <f t="shared" si="3"/>
        <v>119*N19-0159*LP 5E*Ply*2020*17</v>
      </c>
      <c r="B120" s="1" t="s">
        <v>33</v>
      </c>
      <c r="C120" s="1" t="s">
        <v>15</v>
      </c>
      <c r="D120" s="1" t="s">
        <v>16</v>
      </c>
      <c r="E120" s="1">
        <v>2020</v>
      </c>
      <c r="F120" s="1">
        <v>3</v>
      </c>
      <c r="G120" s="1">
        <v>17</v>
      </c>
      <c r="H120" s="4">
        <v>119</v>
      </c>
      <c r="K120" s="1" t="s">
        <v>67</v>
      </c>
      <c r="L120" s="1">
        <v>2</v>
      </c>
      <c r="M120" s="1">
        <v>31</v>
      </c>
      <c r="N120" s="1">
        <v>1250.7</v>
      </c>
      <c r="O120" s="1">
        <v>13</v>
      </c>
      <c r="S120" s="1" t="s">
        <v>70</v>
      </c>
    </row>
    <row r="121" spans="1:19" ht="17.25" customHeight="1" x14ac:dyDescent="0.2">
      <c r="A121" s="2" t="str">
        <f t="shared" si="3"/>
        <v>120*N19-0174*LP 5E*Ply*2020*20</v>
      </c>
      <c r="B121" s="1" t="s">
        <v>42</v>
      </c>
      <c r="C121" s="1" t="s">
        <v>15</v>
      </c>
      <c r="D121" s="1" t="s">
        <v>16</v>
      </c>
      <c r="E121" s="1">
        <v>2020</v>
      </c>
      <c r="F121" s="1">
        <v>3</v>
      </c>
      <c r="G121" s="1">
        <v>20</v>
      </c>
      <c r="H121" s="4">
        <v>120</v>
      </c>
      <c r="K121" s="1" t="s">
        <v>67</v>
      </c>
      <c r="L121" s="1">
        <v>1.5</v>
      </c>
      <c r="M121" s="1">
        <v>24</v>
      </c>
      <c r="N121" s="1">
        <v>1101.7</v>
      </c>
      <c r="O121" s="1">
        <v>12.6</v>
      </c>
      <c r="S121" s="1" t="s">
        <v>70</v>
      </c>
    </row>
    <row r="122" spans="1:19" ht="17.25" customHeight="1" x14ac:dyDescent="0.2">
      <c r="A122" s="2" t="str">
        <f t="shared" si="3"/>
        <v>121*N19-0060*LP 5E*Ply*2020*8</v>
      </c>
      <c r="B122" s="1" t="s">
        <v>38</v>
      </c>
      <c r="C122" s="1" t="s">
        <v>15</v>
      </c>
      <c r="D122" s="1" t="s">
        <v>16</v>
      </c>
      <c r="E122" s="1">
        <v>2020</v>
      </c>
      <c r="F122" s="1">
        <v>3</v>
      </c>
      <c r="G122" s="1">
        <v>8</v>
      </c>
      <c r="H122" s="4">
        <v>121</v>
      </c>
      <c r="K122" s="1" t="s">
        <v>68</v>
      </c>
      <c r="L122" s="1">
        <v>2</v>
      </c>
      <c r="M122" s="1">
        <v>22</v>
      </c>
      <c r="N122" s="1">
        <v>962.6</v>
      </c>
      <c r="O122" s="1">
        <v>12.5</v>
      </c>
      <c r="S122" s="1" t="s">
        <v>70</v>
      </c>
    </row>
    <row r="123" spans="1:19" ht="17.25" customHeight="1" x14ac:dyDescent="0.2">
      <c r="A123" s="2" t="str">
        <f t="shared" si="3"/>
        <v>122*N19-0256*LP 5E*Ply*2020*29</v>
      </c>
      <c r="B123" s="1" t="s">
        <v>24</v>
      </c>
      <c r="C123" s="1" t="s">
        <v>15</v>
      </c>
      <c r="D123" s="1" t="s">
        <v>16</v>
      </c>
      <c r="E123" s="1">
        <v>2020</v>
      </c>
      <c r="F123" s="1">
        <v>3</v>
      </c>
      <c r="G123" s="1">
        <v>29</v>
      </c>
      <c r="H123" s="4">
        <v>122</v>
      </c>
      <c r="K123" s="1" t="s">
        <v>67</v>
      </c>
      <c r="L123" s="1">
        <v>1.5</v>
      </c>
      <c r="M123" s="1">
        <v>26</v>
      </c>
      <c r="N123" s="1">
        <v>1116.9000000000001</v>
      </c>
      <c r="O123" s="1">
        <v>11.6</v>
      </c>
      <c r="S123" s="1" t="s">
        <v>70</v>
      </c>
    </row>
    <row r="124" spans="1:19" ht="17.25" customHeight="1" x14ac:dyDescent="0.2">
      <c r="A124" s="2" t="str">
        <f t="shared" si="3"/>
        <v>123*Ellis*LP 5E*Ply*2020*41</v>
      </c>
      <c r="B124" s="1" t="s">
        <v>50</v>
      </c>
      <c r="C124" s="1" t="s">
        <v>15</v>
      </c>
      <c r="D124" s="1" t="s">
        <v>16</v>
      </c>
      <c r="E124" s="1">
        <v>2020</v>
      </c>
      <c r="F124" s="1">
        <v>3</v>
      </c>
      <c r="G124" s="1">
        <v>41</v>
      </c>
      <c r="H124" s="4">
        <v>123</v>
      </c>
      <c r="K124" s="1" t="s">
        <v>68</v>
      </c>
      <c r="L124" s="1">
        <v>1.5</v>
      </c>
      <c r="M124" s="1">
        <v>24</v>
      </c>
      <c r="N124" s="1">
        <v>980.8</v>
      </c>
      <c r="O124" s="1">
        <v>13</v>
      </c>
      <c r="S124" s="1" t="s">
        <v>70</v>
      </c>
    </row>
    <row r="125" spans="1:19" ht="17.25" customHeight="1" x14ac:dyDescent="0.2">
      <c r="A125" s="2" t="str">
        <f t="shared" si="3"/>
        <v>124*N19-0195*LP 5E*Ply*2020*21</v>
      </c>
      <c r="B125" s="1" t="s">
        <v>29</v>
      </c>
      <c r="C125" s="1" t="s">
        <v>15</v>
      </c>
      <c r="D125" s="1" t="s">
        <v>16</v>
      </c>
      <c r="E125" s="1">
        <v>2020</v>
      </c>
      <c r="F125" s="1">
        <v>3</v>
      </c>
      <c r="G125" s="1">
        <v>21</v>
      </c>
      <c r="H125" s="4">
        <v>124</v>
      </c>
      <c r="K125" s="1" t="s">
        <v>66</v>
      </c>
      <c r="L125" s="1">
        <v>1.5</v>
      </c>
      <c r="M125" s="1">
        <v>24</v>
      </c>
      <c r="N125" s="1">
        <v>1200.0999999999999</v>
      </c>
      <c r="O125" s="1">
        <v>13.6</v>
      </c>
      <c r="S125" s="1" t="s">
        <v>70</v>
      </c>
    </row>
    <row r="126" spans="1:19" ht="17.25" customHeight="1" x14ac:dyDescent="0.2">
      <c r="A126" s="2" t="str">
        <f t="shared" si="3"/>
        <v>125*N19-0238*LP 5E*Ply*2020*27</v>
      </c>
      <c r="B126" s="1" t="s">
        <v>53</v>
      </c>
      <c r="C126" s="1" t="s">
        <v>15</v>
      </c>
      <c r="D126" s="1" t="s">
        <v>16</v>
      </c>
      <c r="E126" s="1">
        <v>2020</v>
      </c>
      <c r="F126" s="1">
        <v>3</v>
      </c>
      <c r="G126" s="1">
        <v>27</v>
      </c>
      <c r="H126" s="4">
        <v>125</v>
      </c>
      <c r="K126" s="1" t="s">
        <v>67</v>
      </c>
      <c r="L126" s="1">
        <v>2.5</v>
      </c>
      <c r="M126" s="1">
        <v>51</v>
      </c>
      <c r="N126" s="1">
        <v>1048.5999999999999</v>
      </c>
      <c r="O126" s="1">
        <v>13.7</v>
      </c>
      <c r="R126" s="1" t="s">
        <v>77</v>
      </c>
      <c r="S126" s="1" t="s">
        <v>71</v>
      </c>
    </row>
    <row r="127" spans="1:19" ht="17.25" customHeight="1" x14ac:dyDescent="0.2">
      <c r="A127" s="2" t="str">
        <f t="shared" si="3"/>
        <v>126*N19-0006*LP 5E*Ply*2020*2</v>
      </c>
      <c r="B127" s="1" t="s">
        <v>46</v>
      </c>
      <c r="C127" s="1" t="s">
        <v>15</v>
      </c>
      <c r="D127" s="1" t="s">
        <v>16</v>
      </c>
      <c r="E127" s="1">
        <v>2020</v>
      </c>
      <c r="F127" s="1">
        <v>3</v>
      </c>
      <c r="G127" s="1">
        <v>2</v>
      </c>
      <c r="H127" s="4">
        <v>126</v>
      </c>
      <c r="K127" s="1" t="s">
        <v>66</v>
      </c>
      <c r="L127" s="1">
        <v>2</v>
      </c>
      <c r="M127" s="1">
        <v>31</v>
      </c>
      <c r="N127" s="1">
        <v>1101.8</v>
      </c>
      <c r="O127" s="1">
        <v>12.8</v>
      </c>
      <c r="S127" s="1" t="s">
        <v>70</v>
      </c>
    </row>
    <row r="128" spans="1:19" ht="17.25" customHeight="1" x14ac:dyDescent="0.2">
      <c r="A128" s="2" t="str">
        <f t="shared" si="3"/>
        <v>127*N19-1455*LP 5E*Ply*2020*40</v>
      </c>
      <c r="B128" s="1" t="s">
        <v>60</v>
      </c>
      <c r="C128" s="1" t="s">
        <v>15</v>
      </c>
      <c r="D128" s="1" t="s">
        <v>16</v>
      </c>
      <c r="E128" s="1">
        <v>2020</v>
      </c>
      <c r="F128" s="1">
        <v>3</v>
      </c>
      <c r="G128" s="1">
        <v>40</v>
      </c>
      <c r="H128" s="4">
        <v>127</v>
      </c>
      <c r="K128" s="1" t="s">
        <v>68</v>
      </c>
      <c r="L128" s="1">
        <v>1.5</v>
      </c>
      <c r="M128" s="1">
        <v>29</v>
      </c>
      <c r="N128" s="1">
        <v>1233.5</v>
      </c>
      <c r="O128" s="1">
        <v>12.3</v>
      </c>
      <c r="S128" s="1" t="s">
        <v>70</v>
      </c>
    </row>
    <row r="129" spans="1:19" ht="17.25" customHeight="1" x14ac:dyDescent="0.2">
      <c r="A129" s="2" t="str">
        <f t="shared" si="3"/>
        <v>128*N19-0031*LP 5E*Ply*2020*5</v>
      </c>
      <c r="B129" s="1" t="s">
        <v>57</v>
      </c>
      <c r="C129" s="1" t="s">
        <v>15</v>
      </c>
      <c r="D129" s="1" t="s">
        <v>16</v>
      </c>
      <c r="E129" s="1">
        <v>2020</v>
      </c>
      <c r="F129" s="1">
        <v>3</v>
      </c>
      <c r="G129" s="1">
        <v>5</v>
      </c>
      <c r="H129" s="4">
        <v>128</v>
      </c>
      <c r="K129" s="1" t="s">
        <v>66</v>
      </c>
      <c r="L129" s="1">
        <v>1.5</v>
      </c>
      <c r="M129" s="1">
        <v>30</v>
      </c>
      <c r="N129" s="1">
        <v>738.4</v>
      </c>
      <c r="O129" s="1">
        <v>10.3</v>
      </c>
      <c r="S129" s="1" t="s">
        <v>70</v>
      </c>
    </row>
    <row r="130" spans="1:19" ht="17.25" customHeight="1" x14ac:dyDescent="0.2">
      <c r="A130" s="2" t="str">
        <f t="shared" ref="A130:A136" si="4">CONCATENATE(H130,"*",B130,"*",D130,"*",C130,"*",E130,"*",G130)</f>
        <v>129*N16-599*LP 5E*Ply*2020*45</v>
      </c>
      <c r="B130" s="1" t="s">
        <v>51</v>
      </c>
      <c r="C130" s="1" t="s">
        <v>15</v>
      </c>
      <c r="D130" s="1" t="s">
        <v>16</v>
      </c>
      <c r="E130" s="1">
        <v>2020</v>
      </c>
      <c r="F130" s="1">
        <v>3</v>
      </c>
      <c r="G130" s="1">
        <v>45</v>
      </c>
      <c r="H130" s="4">
        <v>129</v>
      </c>
      <c r="K130" s="1" t="s">
        <v>67</v>
      </c>
      <c r="L130" s="1">
        <v>1.5</v>
      </c>
      <c r="M130" s="1">
        <v>26</v>
      </c>
      <c r="N130" s="1">
        <v>1188</v>
      </c>
      <c r="O130" s="1">
        <v>11</v>
      </c>
      <c r="S130" s="1" t="s">
        <v>70</v>
      </c>
    </row>
    <row r="131" spans="1:19" ht="17.25" customHeight="1" x14ac:dyDescent="0.2">
      <c r="A131" s="2" t="str">
        <f t="shared" si="4"/>
        <v>130*N19-0117*LP 5E*Ply*2020*14</v>
      </c>
      <c r="B131" s="1" t="s">
        <v>28</v>
      </c>
      <c r="C131" s="1" t="s">
        <v>15</v>
      </c>
      <c r="D131" s="1" t="s">
        <v>16</v>
      </c>
      <c r="E131" s="1">
        <v>2020</v>
      </c>
      <c r="F131" s="1">
        <v>3</v>
      </c>
      <c r="G131" s="1">
        <v>14</v>
      </c>
      <c r="H131" s="4">
        <v>130</v>
      </c>
      <c r="K131" s="1" t="s">
        <v>67</v>
      </c>
      <c r="L131" s="1">
        <v>2.5</v>
      </c>
      <c r="M131" s="1">
        <v>48</v>
      </c>
      <c r="N131" s="1">
        <v>950</v>
      </c>
      <c r="O131" s="1">
        <v>13.6</v>
      </c>
      <c r="R131" s="1" t="s">
        <v>77</v>
      </c>
      <c r="S131" s="1" t="s">
        <v>71</v>
      </c>
    </row>
    <row r="132" spans="1:19" ht="17.25" customHeight="1" x14ac:dyDescent="0.2">
      <c r="A132" s="2" t="str">
        <f t="shared" si="4"/>
        <v>131*N19-0493*LP 5E*Ply*2020*34</v>
      </c>
      <c r="B132" s="1" t="s">
        <v>44</v>
      </c>
      <c r="C132" s="1" t="s">
        <v>15</v>
      </c>
      <c r="D132" s="1" t="s">
        <v>16</v>
      </c>
      <c r="E132" s="1">
        <v>2020</v>
      </c>
      <c r="F132" s="1">
        <v>3</v>
      </c>
      <c r="G132" s="1">
        <v>34</v>
      </c>
      <c r="H132" s="4">
        <v>131</v>
      </c>
      <c r="K132" s="1" t="s">
        <v>67</v>
      </c>
      <c r="L132" s="1">
        <v>2</v>
      </c>
      <c r="M132" s="1">
        <v>34</v>
      </c>
      <c r="N132" s="1">
        <v>1209.3</v>
      </c>
      <c r="O132" s="1">
        <v>12.6</v>
      </c>
      <c r="S132" s="1" t="s">
        <v>69</v>
      </c>
    </row>
    <row r="133" spans="1:19" ht="17.25" customHeight="1" x14ac:dyDescent="0.2">
      <c r="A133" s="2" t="str">
        <f t="shared" si="4"/>
        <v>132*N19-0004*LP 5E*Ply*2020*1</v>
      </c>
      <c r="B133" s="1" t="s">
        <v>21</v>
      </c>
      <c r="C133" s="1" t="s">
        <v>15</v>
      </c>
      <c r="D133" s="1" t="s">
        <v>16</v>
      </c>
      <c r="E133" s="1">
        <v>2020</v>
      </c>
      <c r="F133" s="1">
        <v>3</v>
      </c>
      <c r="G133" s="1">
        <v>1</v>
      </c>
      <c r="H133" s="4">
        <v>132</v>
      </c>
      <c r="K133" s="1" t="s">
        <v>66</v>
      </c>
      <c r="L133" s="1">
        <v>1.5</v>
      </c>
      <c r="M133" s="1">
        <v>31</v>
      </c>
      <c r="N133" s="1">
        <v>1326.7</v>
      </c>
      <c r="O133" s="1">
        <v>14.9</v>
      </c>
      <c r="S133" s="1" t="s">
        <v>70</v>
      </c>
    </row>
    <row r="134" spans="1:19" ht="17.25" customHeight="1" x14ac:dyDescent="0.2">
      <c r="A134" s="2" t="str">
        <f t="shared" si="4"/>
        <v>133*N19-0383*LP 5E*Ply*2020*32</v>
      </c>
      <c r="B134" s="1" t="s">
        <v>49</v>
      </c>
      <c r="C134" s="1" t="s">
        <v>15</v>
      </c>
      <c r="D134" s="1" t="s">
        <v>16</v>
      </c>
      <c r="E134" s="1">
        <v>2020</v>
      </c>
      <c r="F134" s="1">
        <v>3</v>
      </c>
      <c r="G134" s="1">
        <v>32</v>
      </c>
      <c r="H134" s="4">
        <v>133</v>
      </c>
      <c r="K134" s="1" t="s">
        <v>66</v>
      </c>
      <c r="L134" s="1">
        <v>1.5</v>
      </c>
      <c r="M134" s="1">
        <v>28</v>
      </c>
      <c r="N134" s="1">
        <v>1052</v>
      </c>
      <c r="O134" s="1">
        <v>11.8</v>
      </c>
      <c r="S134" s="1" t="s">
        <v>70</v>
      </c>
    </row>
    <row r="135" spans="1:19" ht="17.25" customHeight="1" x14ac:dyDescent="0.2">
      <c r="A135" s="2" t="str">
        <f t="shared" si="4"/>
        <v>134*N19-0042*LP 5E*Ply*2020*7</v>
      </c>
      <c r="B135" s="1" t="s">
        <v>19</v>
      </c>
      <c r="C135" s="1" t="s">
        <v>15</v>
      </c>
      <c r="D135" s="1" t="s">
        <v>16</v>
      </c>
      <c r="E135" s="1">
        <v>2020</v>
      </c>
      <c r="F135" s="1">
        <v>3</v>
      </c>
      <c r="G135" s="1">
        <v>7</v>
      </c>
      <c r="H135" s="4">
        <v>134</v>
      </c>
      <c r="K135" s="1" t="s">
        <v>67</v>
      </c>
      <c r="L135" s="1">
        <v>2.5</v>
      </c>
      <c r="M135" s="1">
        <v>47</v>
      </c>
      <c r="N135" s="1">
        <v>1271.2</v>
      </c>
      <c r="O135" s="1">
        <v>11.5</v>
      </c>
      <c r="S135" s="1" t="s">
        <v>71</v>
      </c>
    </row>
    <row r="136" spans="1:19" ht="17.25" customHeight="1" x14ac:dyDescent="0.2">
      <c r="A136" s="2" t="str">
        <f t="shared" si="4"/>
        <v>135*N19-0102*LP 5E*Ply*2020*13</v>
      </c>
      <c r="B136" s="1" t="s">
        <v>23</v>
      </c>
      <c r="C136" s="1" t="s">
        <v>15</v>
      </c>
      <c r="D136" s="1" t="s">
        <v>16</v>
      </c>
      <c r="E136" s="1">
        <v>2020</v>
      </c>
      <c r="F136" s="1">
        <v>3</v>
      </c>
      <c r="G136" s="1">
        <v>13</v>
      </c>
      <c r="H136" s="4">
        <v>135</v>
      </c>
      <c r="K136" s="1" t="s">
        <v>68</v>
      </c>
      <c r="L136" s="1">
        <v>2</v>
      </c>
      <c r="M136" s="1">
        <v>32</v>
      </c>
      <c r="N136" s="1">
        <v>984.9</v>
      </c>
      <c r="O136" s="1">
        <v>13.8</v>
      </c>
      <c r="S136" s="1" t="s">
        <v>70</v>
      </c>
    </row>
    <row r="137" spans="1:19" ht="17.25" customHeight="1" x14ac:dyDescent="0.25"/>
    <row r="138" spans="1:19" ht="17.25" customHeight="1" x14ac:dyDescent="0.25"/>
    <row r="139" spans="1:19" ht="17.25" customHeight="1" x14ac:dyDescent="0.25"/>
    <row r="140" spans="1:19" ht="17.25" customHeight="1" x14ac:dyDescent="0.25"/>
    <row r="141" spans="1:19" ht="17.25" customHeight="1" x14ac:dyDescent="0.25"/>
    <row r="142" spans="1:19" ht="17.25" customHeight="1" x14ac:dyDescent="0.25"/>
    <row r="143" spans="1:19" ht="17.25" customHeight="1" x14ac:dyDescent="0.25"/>
    <row r="144" spans="1:19" ht="17.25" customHeight="1" x14ac:dyDescent="0.25"/>
    <row r="145" ht="17.25" customHeight="1" x14ac:dyDescent="0.25"/>
    <row r="146" ht="17.25" customHeight="1" x14ac:dyDescent="0.25"/>
    <row r="147" ht="17.25" customHeight="1" x14ac:dyDescent="0.25"/>
    <row r="148" ht="17.25" customHeight="1" x14ac:dyDescent="0.25"/>
    <row r="149" ht="17.25" customHeight="1" x14ac:dyDescent="0.25"/>
    <row r="150" ht="17.25" customHeight="1" x14ac:dyDescent="0.25"/>
    <row r="151" ht="17.25" customHeight="1" x14ac:dyDescent="0.25"/>
    <row r="152" ht="17.25" customHeight="1" x14ac:dyDescent="0.25"/>
    <row r="153" ht="17.25" customHeight="1" x14ac:dyDescent="0.25"/>
    <row r="154" ht="17.25" customHeight="1" x14ac:dyDescent="0.25"/>
    <row r="155" ht="17.25" customHeight="1" x14ac:dyDescent="0.25"/>
    <row r="156" ht="13.5" customHeight="1" x14ac:dyDescent="0.25"/>
    <row r="157" ht="17.25" customHeight="1" x14ac:dyDescent="0.25"/>
    <row r="158" ht="17.25" customHeight="1" x14ac:dyDescent="0.25"/>
    <row r="159" ht="17.25" customHeight="1" x14ac:dyDescent="0.25"/>
    <row r="160" ht="17.25" customHeight="1" x14ac:dyDescent="0.25"/>
    <row r="161" ht="17.25" customHeight="1" x14ac:dyDescent="0.25"/>
    <row r="162" ht="17.25" customHeight="1" x14ac:dyDescent="0.25"/>
    <row r="163" ht="17.25" customHeight="1" x14ac:dyDescent="0.25"/>
    <row r="164" ht="17.25" customHeight="1" x14ac:dyDescent="0.25"/>
    <row r="165" ht="17.25" customHeight="1" x14ac:dyDescent="0.25"/>
    <row r="166" ht="17.25" customHeight="1" x14ac:dyDescent="0.25"/>
    <row r="167" ht="17.25" customHeight="1" x14ac:dyDescent="0.25"/>
    <row r="168" ht="17.25" customHeight="1" x14ac:dyDescent="0.25"/>
    <row r="169" ht="17.25" customHeight="1" x14ac:dyDescent="0.25"/>
    <row r="170" ht="17.25" customHeight="1" x14ac:dyDescent="0.25"/>
    <row r="171" ht="17.25" customHeight="1" x14ac:dyDescent="0.25"/>
    <row r="172" ht="17.25" customHeight="1" x14ac:dyDescent="0.25"/>
    <row r="173" ht="17.25" customHeight="1" x14ac:dyDescent="0.25"/>
    <row r="174" ht="17.25" customHeight="1" x14ac:dyDescent="0.25"/>
    <row r="175" ht="17.25" customHeight="1" x14ac:dyDescent="0.25"/>
    <row r="176" ht="17.25" customHeight="1" x14ac:dyDescent="0.25"/>
    <row r="177" ht="17.25" customHeight="1" x14ac:dyDescent="0.25"/>
    <row r="178" ht="17.25" customHeight="1" x14ac:dyDescent="0.25"/>
    <row r="179" ht="17.25" customHeight="1" x14ac:dyDescent="0.25"/>
    <row r="180" ht="17.25" customHeight="1" x14ac:dyDescent="0.25"/>
    <row r="181" ht="17.25" customHeight="1" x14ac:dyDescent="0.25"/>
    <row r="182" ht="17.25" customHeight="1" x14ac:dyDescent="0.25"/>
    <row r="183" ht="17.25" customHeight="1" x14ac:dyDescent="0.25"/>
    <row r="184" ht="13.5" customHeight="1" x14ac:dyDescent="0.25"/>
    <row r="185" ht="17.25" customHeight="1" x14ac:dyDescent="0.25"/>
    <row r="186" ht="17.25" customHeight="1" x14ac:dyDescent="0.25"/>
    <row r="187" ht="17.25" customHeight="1" x14ac:dyDescent="0.25"/>
    <row r="188" ht="17.25" customHeight="1" x14ac:dyDescent="0.25"/>
    <row r="189" ht="17.25" customHeight="1" x14ac:dyDescent="0.25"/>
    <row r="190" ht="17.25" customHeight="1" x14ac:dyDescent="0.25"/>
    <row r="191" ht="17.25" customHeight="1" x14ac:dyDescent="0.25"/>
    <row r="192" ht="17.25" customHeight="1" x14ac:dyDescent="0.25"/>
    <row r="193" ht="17.25" customHeight="1" x14ac:dyDescent="0.25"/>
    <row r="194" ht="17.25" customHeight="1" x14ac:dyDescent="0.25"/>
    <row r="195" ht="17.25" customHeight="1" x14ac:dyDescent="0.25"/>
    <row r="196" ht="17.25" customHeight="1" x14ac:dyDescent="0.25"/>
    <row r="197" ht="17.25" customHeight="1" x14ac:dyDescent="0.25"/>
    <row r="198" ht="17.25" customHeight="1" x14ac:dyDescent="0.25"/>
    <row r="199" ht="17.25" customHeight="1" x14ac:dyDescent="0.25"/>
    <row r="200" ht="17.25" customHeight="1" x14ac:dyDescent="0.25"/>
    <row r="201" ht="17.25" customHeight="1" x14ac:dyDescent="0.25"/>
    <row r="202" ht="17.25" customHeight="1" x14ac:dyDescent="0.25"/>
    <row r="203" ht="17.25" customHeight="1" x14ac:dyDescent="0.25"/>
    <row r="204" ht="17.25" customHeight="1" x14ac:dyDescent="0.25"/>
    <row r="205" ht="17.25" customHeight="1" x14ac:dyDescent="0.25"/>
    <row r="206" ht="17.25" customHeight="1" x14ac:dyDescent="0.25"/>
    <row r="207" ht="17.25" customHeight="1" x14ac:dyDescent="0.25"/>
    <row r="208" ht="17.25" customHeight="1" x14ac:dyDescent="0.25"/>
    <row r="209" ht="17.25" customHeight="1" x14ac:dyDescent="0.25"/>
    <row r="210" ht="17.25" customHeight="1" x14ac:dyDescent="0.25"/>
    <row r="211" ht="17.25" customHeight="1" x14ac:dyDescent="0.25"/>
    <row r="212" ht="13.5" customHeight="1" x14ac:dyDescent="0.25"/>
    <row r="213" ht="17.25" customHeight="1" x14ac:dyDescent="0.25"/>
    <row r="214" ht="17.25" customHeight="1" x14ac:dyDescent="0.25"/>
    <row r="215" ht="17.25" customHeight="1" x14ac:dyDescent="0.25"/>
    <row r="216" ht="17.25" customHeight="1" x14ac:dyDescent="0.25"/>
    <row r="217" ht="17.25" customHeight="1" x14ac:dyDescent="0.25"/>
    <row r="218" ht="17.25" customHeight="1" x14ac:dyDescent="0.25"/>
    <row r="219" ht="17.25" customHeight="1" x14ac:dyDescent="0.25"/>
    <row r="220" ht="17.25" customHeight="1" x14ac:dyDescent="0.25"/>
    <row r="221" ht="17.25" customHeight="1" x14ac:dyDescent="0.25"/>
    <row r="222" ht="17.25" customHeight="1" x14ac:dyDescent="0.25"/>
    <row r="223" ht="17.25" customHeight="1" x14ac:dyDescent="0.25"/>
    <row r="224" ht="17.25" customHeight="1" x14ac:dyDescent="0.25"/>
    <row r="225" ht="17.25" customHeight="1" x14ac:dyDescent="0.25"/>
    <row r="226" ht="17.25" customHeight="1" x14ac:dyDescent="0.25"/>
    <row r="227" ht="17.25" customHeight="1" x14ac:dyDescent="0.25"/>
    <row r="228" ht="17.25" customHeight="1" x14ac:dyDescent="0.25"/>
    <row r="229" ht="17.25" customHeight="1" x14ac:dyDescent="0.25"/>
    <row r="230" ht="17.25" customHeight="1" x14ac:dyDescent="0.25"/>
    <row r="231" ht="17.25" customHeight="1" x14ac:dyDescent="0.25"/>
    <row r="232" ht="17.25" customHeight="1" x14ac:dyDescent="0.25"/>
    <row r="233" ht="17.25" customHeight="1" x14ac:dyDescent="0.25"/>
    <row r="234" ht="17.25" customHeight="1" x14ac:dyDescent="0.25"/>
    <row r="235" ht="13.5" customHeight="1" x14ac:dyDescent="0.25"/>
    <row r="236" ht="17.25" customHeight="1" x14ac:dyDescent="0.25"/>
    <row r="237" ht="17.25" customHeight="1" x14ac:dyDescent="0.25"/>
    <row r="238" ht="17.25" customHeight="1" x14ac:dyDescent="0.25"/>
    <row r="239" ht="17.25" customHeight="1" x14ac:dyDescent="0.25"/>
    <row r="240" ht="17.25" customHeight="1" x14ac:dyDescent="0.25"/>
    <row r="241" ht="0.75" customHeight="1" x14ac:dyDescent="0.25"/>
    <row r="242" ht="17.25" customHeight="1" x14ac:dyDescent="0.25"/>
    <row r="243" ht="17.25" customHeight="1" x14ac:dyDescent="0.25"/>
    <row r="244" ht="17.25" customHeight="1" x14ac:dyDescent="0.25"/>
    <row r="245" ht="17.25" customHeight="1" x14ac:dyDescent="0.25"/>
    <row r="246" ht="17.25" customHeight="1" x14ac:dyDescent="0.25"/>
    <row r="247" ht="17.25" customHeight="1" x14ac:dyDescent="0.25"/>
    <row r="248" ht="17.25" customHeight="1" x14ac:dyDescent="0.25"/>
    <row r="249" ht="17.25" customHeight="1" x14ac:dyDescent="0.25"/>
    <row r="250" ht="17.25" customHeight="1" x14ac:dyDescent="0.25"/>
    <row r="251" ht="13.5" customHeight="1" x14ac:dyDescent="0.25"/>
    <row r="252" ht="17.25" customHeight="1" x14ac:dyDescent="0.25"/>
    <row r="253" ht="17.25" customHeight="1" x14ac:dyDescent="0.25"/>
    <row r="254" ht="17.25" customHeight="1" x14ac:dyDescent="0.25"/>
    <row r="255" ht="17.25" customHeight="1" x14ac:dyDescent="0.25"/>
    <row r="256" ht="17.25" customHeight="1" x14ac:dyDescent="0.25"/>
    <row r="257" ht="17.25" customHeight="1" x14ac:dyDescent="0.25"/>
    <row r="258" ht="17.25" customHeight="1" x14ac:dyDescent="0.25"/>
    <row r="259" ht="17.25" customHeight="1" x14ac:dyDescent="0.25"/>
    <row r="260" ht="17.25" customHeight="1" x14ac:dyDescent="0.25"/>
    <row r="261" ht="0.75" customHeight="1" x14ac:dyDescent="0.25"/>
    <row r="262" ht="17.25" customHeight="1" x14ac:dyDescent="0.25"/>
    <row r="263" ht="17.25" customHeight="1" x14ac:dyDescent="0.25"/>
    <row r="264" ht="17.25" customHeight="1" x14ac:dyDescent="0.25"/>
    <row r="265" ht="17.25" customHeight="1" x14ac:dyDescent="0.25"/>
    <row r="266" ht="15.75" customHeight="1" x14ac:dyDescent="0.25"/>
    <row r="267" ht="17.25" customHeight="1" x14ac:dyDescent="0.25"/>
    <row r="268" ht="17.25" customHeight="1" x14ac:dyDescent="0.25"/>
    <row r="269" ht="17.25" customHeight="1" x14ac:dyDescent="0.25"/>
    <row r="270" ht="17.25" customHeight="1" x14ac:dyDescent="0.25"/>
    <row r="271" ht="17.25" customHeight="1" x14ac:dyDescent="0.25"/>
    <row r="272" ht="17.25" customHeight="1" x14ac:dyDescent="0.25"/>
    <row r="273" ht="13.5" customHeight="1" x14ac:dyDescent="0.25"/>
    <row r="274" ht="17.25" customHeight="1" x14ac:dyDescent="0.25"/>
    <row r="275" ht="17.25" customHeight="1" x14ac:dyDescent="0.25"/>
    <row r="276" ht="17.25" customHeight="1" x14ac:dyDescent="0.25"/>
    <row r="277" ht="17.25" customHeight="1" x14ac:dyDescent="0.25"/>
    <row r="278" ht="17.25" customHeight="1" x14ac:dyDescent="0.25"/>
    <row r="279" ht="17.25" customHeight="1" x14ac:dyDescent="0.25"/>
    <row r="280" ht="17.25" customHeight="1" x14ac:dyDescent="0.25"/>
    <row r="281" ht="17.25" customHeight="1" x14ac:dyDescent="0.25"/>
    <row r="282" ht="17.25" customHeight="1" x14ac:dyDescent="0.25"/>
    <row r="283" ht="0.75" customHeight="1" x14ac:dyDescent="0.25"/>
    <row r="284" ht="17.25" customHeight="1" x14ac:dyDescent="0.25"/>
    <row r="285" ht="17.25" customHeight="1" x14ac:dyDescent="0.25"/>
    <row r="286" ht="17.25" customHeight="1" x14ac:dyDescent="0.25"/>
    <row r="287" ht="17.25" customHeight="1" x14ac:dyDescent="0.25"/>
    <row r="288" ht="17.25" customHeight="1" x14ac:dyDescent="0.25"/>
    <row r="289" ht="17.25" customHeight="1" x14ac:dyDescent="0.25"/>
    <row r="290" ht="17.25" customHeight="1" x14ac:dyDescent="0.25"/>
    <row r="291" ht="13.5" customHeight="1" x14ac:dyDescent="0.25"/>
    <row r="292" ht="17.25" customHeight="1" x14ac:dyDescent="0.25"/>
    <row r="293" ht="17.25" customHeight="1" x14ac:dyDescent="0.25"/>
    <row r="294" ht="17.25" customHeight="1" x14ac:dyDescent="0.25"/>
    <row r="295" ht="17.25" customHeight="1" x14ac:dyDescent="0.25"/>
    <row r="296" ht="17.25" customHeight="1" x14ac:dyDescent="0.25"/>
    <row r="297" ht="17.25" customHeight="1" x14ac:dyDescent="0.25"/>
    <row r="298" ht="17.25" customHeight="1" x14ac:dyDescent="0.25"/>
    <row r="299" ht="17.25" customHeight="1" x14ac:dyDescent="0.25"/>
    <row r="300" ht="17.25" customHeight="1" x14ac:dyDescent="0.25"/>
    <row r="301" ht="17.25" customHeight="1" x14ac:dyDescent="0.25"/>
    <row r="302" ht="17.25" customHeight="1" x14ac:dyDescent="0.25"/>
    <row r="303" ht="17.25" customHeight="1" x14ac:dyDescent="0.25"/>
    <row r="304" ht="17.25" customHeight="1" x14ac:dyDescent="0.25"/>
    <row r="305" ht="17.25" customHeight="1" x14ac:dyDescent="0.25"/>
    <row r="306" ht="17.25" customHeight="1" x14ac:dyDescent="0.25"/>
    <row r="307" ht="17.25" customHeight="1" x14ac:dyDescent="0.25"/>
    <row r="308" ht="13.5" customHeight="1" x14ac:dyDescent="0.25"/>
    <row r="309" ht="17.25" customHeight="1" x14ac:dyDescent="0.25"/>
    <row r="310" ht="17.25" customHeight="1" x14ac:dyDescent="0.25"/>
    <row r="311" ht="17.25" customHeight="1" x14ac:dyDescent="0.25"/>
    <row r="312" ht="17.25" customHeight="1" x14ac:dyDescent="0.25"/>
    <row r="313" ht="17.25" customHeight="1" x14ac:dyDescent="0.25"/>
    <row r="314" ht="17.25" customHeight="1" x14ac:dyDescent="0.25"/>
    <row r="315" ht="17.25" customHeight="1" x14ac:dyDescent="0.25"/>
    <row r="316" ht="17.25" customHeight="1" x14ac:dyDescent="0.25"/>
    <row r="317" ht="17.25" customHeight="1" x14ac:dyDescent="0.25"/>
    <row r="318" ht="17.25" customHeight="1" x14ac:dyDescent="0.25"/>
    <row r="319" ht="17.25" customHeight="1" x14ac:dyDescent="0.25"/>
    <row r="320" ht="17.25" customHeight="1" x14ac:dyDescent="0.25"/>
    <row r="321" ht="17.25" customHeight="1" x14ac:dyDescent="0.25"/>
    <row r="322" ht="17.25" customHeight="1" x14ac:dyDescent="0.25"/>
    <row r="323" ht="17.25" customHeight="1" x14ac:dyDescent="0.25"/>
    <row r="324" ht="17.25" customHeight="1" x14ac:dyDescent="0.25"/>
    <row r="325" ht="13.5" customHeight="1" x14ac:dyDescent="0.25"/>
    <row r="326" ht="17.25" customHeight="1" x14ac:dyDescent="0.25"/>
    <row r="327" ht="17.25" customHeight="1" x14ac:dyDescent="0.25"/>
    <row r="328" ht="17.25" customHeight="1" x14ac:dyDescent="0.25"/>
    <row r="329" ht="17.25" customHeight="1" x14ac:dyDescent="0.25"/>
    <row r="330" ht="17.25" customHeight="1" x14ac:dyDescent="0.25"/>
    <row r="331" ht="17.25" customHeight="1" x14ac:dyDescent="0.25"/>
    <row r="332" ht="17.25" customHeight="1" x14ac:dyDescent="0.25"/>
    <row r="333" ht="17.25" customHeight="1" x14ac:dyDescent="0.25"/>
    <row r="334" ht="17.25" customHeight="1" x14ac:dyDescent="0.25"/>
    <row r="335" ht="17.25" customHeight="1" x14ac:dyDescent="0.25"/>
    <row r="336" ht="17.25" customHeight="1" x14ac:dyDescent="0.25"/>
    <row r="337" ht="17.25" customHeight="1" x14ac:dyDescent="0.25"/>
    <row r="338" ht="17.25" customHeight="1" x14ac:dyDescent="0.25"/>
    <row r="339" ht="17.25" customHeight="1" x14ac:dyDescent="0.25"/>
    <row r="340" ht="17.25" customHeight="1" x14ac:dyDescent="0.25"/>
    <row r="341" ht="17.25" customHeight="1" x14ac:dyDescent="0.25"/>
    <row r="342" ht="13.5" customHeight="1" x14ac:dyDescent="0.25"/>
    <row r="343" ht="13.5" customHeight="1" x14ac:dyDescent="0.25"/>
    <row r="344" ht="17.25" customHeight="1" x14ac:dyDescent="0.25"/>
    <row r="345" ht="17.25" customHeight="1" x14ac:dyDescent="0.25"/>
    <row r="346" ht="17.25" customHeight="1" x14ac:dyDescent="0.25"/>
    <row r="347" ht="17.25" customHeight="1" x14ac:dyDescent="0.25"/>
    <row r="348" ht="17.25" customHeight="1" x14ac:dyDescent="0.25"/>
    <row r="349" ht="17.25" customHeight="1" x14ac:dyDescent="0.25"/>
    <row r="350" ht="17.25" customHeight="1" x14ac:dyDescent="0.25"/>
    <row r="351" ht="17.25" customHeight="1" x14ac:dyDescent="0.25"/>
    <row r="352" ht="17.25" customHeight="1" x14ac:dyDescent="0.25"/>
    <row r="353" ht="17.25" customHeight="1" x14ac:dyDescent="0.25"/>
    <row r="354" ht="17.25" customHeight="1" x14ac:dyDescent="0.25"/>
    <row r="355" ht="17.25" customHeight="1" x14ac:dyDescent="0.25"/>
    <row r="356" ht="13.5" customHeight="1" x14ac:dyDescent="0.25"/>
    <row r="357" ht="17.25" customHeight="1" x14ac:dyDescent="0.25"/>
    <row r="358" ht="17.25" customHeight="1" x14ac:dyDescent="0.25"/>
    <row r="359" ht="17.25" customHeight="1" x14ac:dyDescent="0.25"/>
    <row r="360" ht="17.25" customHeight="1" x14ac:dyDescent="0.25"/>
    <row r="361" ht="17.25" customHeight="1" x14ac:dyDescent="0.25"/>
    <row r="362" ht="17.25" customHeight="1" x14ac:dyDescent="0.25"/>
    <row r="363" ht="17.25" customHeight="1" x14ac:dyDescent="0.25"/>
    <row r="364" ht="17.25" customHeight="1" x14ac:dyDescent="0.25"/>
    <row r="365" ht="17.25" customHeight="1" x14ac:dyDescent="0.25"/>
    <row r="366" ht="17.25" customHeight="1" x14ac:dyDescent="0.25"/>
    <row r="367" ht="17.25" customHeight="1" x14ac:dyDescent="0.25"/>
    <row r="368" ht="17.25" customHeight="1" x14ac:dyDescent="0.25"/>
    <row r="369" ht="13.5" customHeight="1" x14ac:dyDescent="0.25"/>
    <row r="370" ht="17.25" customHeight="1" x14ac:dyDescent="0.25"/>
    <row r="371" ht="17.25" customHeight="1" x14ac:dyDescent="0.25"/>
    <row r="372" ht="17.25" customHeight="1" x14ac:dyDescent="0.25"/>
    <row r="373" ht="17.25" customHeight="1" x14ac:dyDescent="0.25"/>
    <row r="374" ht="17.25" customHeight="1" x14ac:dyDescent="0.25"/>
    <row r="375" ht="17.25" customHeight="1" x14ac:dyDescent="0.25"/>
    <row r="376" ht="17.25" customHeight="1" x14ac:dyDescent="0.25"/>
    <row r="377" ht="17.25" customHeight="1" x14ac:dyDescent="0.25"/>
    <row r="378" ht="17.25" customHeight="1" x14ac:dyDescent="0.25"/>
    <row r="379" ht="17.25" customHeight="1" x14ac:dyDescent="0.25"/>
    <row r="380" ht="17.25" customHeight="1" x14ac:dyDescent="0.25"/>
    <row r="381" ht="17.25" customHeight="1" x14ac:dyDescent="0.25"/>
    <row r="382" ht="17.25" customHeight="1" x14ac:dyDescent="0.25"/>
    <row r="383" ht="17.25" customHeight="1" x14ac:dyDescent="0.25"/>
    <row r="384" ht="17.25" customHeight="1" x14ac:dyDescent="0.25"/>
    <row r="385" ht="17.25" customHeight="1" x14ac:dyDescent="0.25"/>
    <row r="386" ht="17.25" customHeight="1" x14ac:dyDescent="0.25"/>
    <row r="387" ht="17.25" customHeight="1" x14ac:dyDescent="0.25"/>
    <row r="388" ht="17.25" customHeight="1" x14ac:dyDescent="0.25"/>
    <row r="389" ht="17.25" customHeight="1" x14ac:dyDescent="0.25"/>
    <row r="390" ht="17.25" customHeight="1" x14ac:dyDescent="0.25"/>
    <row r="391" ht="17.25" customHeight="1" x14ac:dyDescent="0.25"/>
    <row r="392" ht="17.25" customHeight="1" x14ac:dyDescent="0.25"/>
    <row r="393" ht="17.25" customHeight="1" x14ac:dyDescent="0.25"/>
    <row r="394" ht="17.25" customHeight="1" x14ac:dyDescent="0.25"/>
    <row r="395" ht="17.25" customHeight="1" x14ac:dyDescent="0.25"/>
    <row r="396" ht="17.25" customHeight="1" x14ac:dyDescent="0.25"/>
    <row r="397" ht="17.25" customHeight="1" x14ac:dyDescent="0.25"/>
    <row r="398" ht="13.5" customHeight="1" x14ac:dyDescent="0.25"/>
    <row r="399" ht="17.25" customHeight="1" x14ac:dyDescent="0.25"/>
    <row r="400" ht="17.25" customHeight="1" x14ac:dyDescent="0.25"/>
    <row r="401" ht="17.25" customHeight="1" x14ac:dyDescent="0.25"/>
    <row r="402" ht="17.25" customHeight="1" x14ac:dyDescent="0.25"/>
    <row r="403" ht="17.25" customHeight="1" x14ac:dyDescent="0.25"/>
    <row r="404" ht="17.25" customHeight="1" x14ac:dyDescent="0.25"/>
    <row r="405" ht="17.25" customHeight="1" x14ac:dyDescent="0.25"/>
    <row r="406" ht="17.25" customHeight="1" x14ac:dyDescent="0.25"/>
    <row r="407" ht="17.25" customHeight="1" x14ac:dyDescent="0.25"/>
    <row r="408" ht="17.25" customHeight="1" x14ac:dyDescent="0.25"/>
    <row r="409" ht="17.25" customHeight="1" x14ac:dyDescent="0.25"/>
    <row r="410" ht="17.25" customHeight="1" x14ac:dyDescent="0.25"/>
    <row r="411" ht="17.25" customHeight="1" x14ac:dyDescent="0.25"/>
    <row r="412" ht="17.25" customHeight="1" x14ac:dyDescent="0.25"/>
    <row r="413" ht="17.25" customHeight="1" x14ac:dyDescent="0.25"/>
    <row r="414" ht="17.25" customHeight="1" x14ac:dyDescent="0.25"/>
    <row r="415" ht="13.5" customHeight="1" x14ac:dyDescent="0.25"/>
    <row r="416" ht="17.25" customHeight="1" x14ac:dyDescent="0.25"/>
    <row r="417" ht="17.25" customHeight="1" x14ac:dyDescent="0.25"/>
    <row r="418" ht="17.25" customHeight="1" x14ac:dyDescent="0.25"/>
    <row r="419" ht="17.25" customHeight="1" x14ac:dyDescent="0.25"/>
    <row r="420" ht="17.25" customHeight="1" x14ac:dyDescent="0.25"/>
    <row r="421" ht="13.5" customHeight="1" x14ac:dyDescent="0.25"/>
    <row r="422" ht="17.25" customHeight="1" x14ac:dyDescent="0.25"/>
    <row r="423" ht="17.25" customHeight="1" x14ac:dyDescent="0.25"/>
    <row r="424" ht="17.25" customHeight="1" x14ac:dyDescent="0.25"/>
    <row r="425" ht="17.25" customHeight="1" x14ac:dyDescent="0.25"/>
    <row r="426" ht="17.25" customHeight="1" x14ac:dyDescent="0.25"/>
    <row r="427" ht="17.25" customHeight="1" x14ac:dyDescent="0.25"/>
    <row r="428" ht="17.25" customHeight="1" x14ac:dyDescent="0.25"/>
    <row r="429" ht="17.25" customHeight="1" x14ac:dyDescent="0.25"/>
    <row r="430" ht="17.25" customHeight="1" x14ac:dyDescent="0.25"/>
    <row r="431" ht="17.25" customHeight="1" x14ac:dyDescent="0.25"/>
    <row r="432" ht="17.25" customHeight="1" x14ac:dyDescent="0.25"/>
    <row r="433" ht="17.25" customHeight="1" x14ac:dyDescent="0.25"/>
    <row r="434" ht="17.25" customHeight="1" x14ac:dyDescent="0.25"/>
    <row r="435" ht="17.25" customHeight="1" x14ac:dyDescent="0.25"/>
    <row r="436" ht="17.25" customHeight="1" x14ac:dyDescent="0.25"/>
    <row r="437" ht="17.25" customHeight="1" x14ac:dyDescent="0.25"/>
    <row r="438" ht="17.25" customHeight="1" x14ac:dyDescent="0.25"/>
    <row r="439" ht="17.25" customHeight="1" x14ac:dyDescent="0.25"/>
    <row r="440" ht="17.25" customHeight="1" x14ac:dyDescent="0.25"/>
    <row r="441" ht="17.25" customHeight="1" x14ac:dyDescent="0.25"/>
    <row r="442" ht="17.25" customHeight="1" x14ac:dyDescent="0.25"/>
    <row r="443" ht="17.25" customHeight="1" x14ac:dyDescent="0.25"/>
    <row r="444" ht="17.25" customHeight="1" x14ac:dyDescent="0.25"/>
    <row r="445" ht="17.25" customHeight="1" x14ac:dyDescent="0.25"/>
    <row r="446" ht="17.25" customHeight="1" x14ac:dyDescent="0.25"/>
    <row r="447" ht="17.25" customHeight="1" x14ac:dyDescent="0.25"/>
    <row r="448" ht="17.25" customHeight="1" x14ac:dyDescent="0.25"/>
    <row r="449" ht="17.25" customHeight="1" x14ac:dyDescent="0.25"/>
    <row r="450" ht="13.5" customHeight="1" x14ac:dyDescent="0.25"/>
    <row r="451" ht="17.25" customHeight="1" x14ac:dyDescent="0.25"/>
    <row r="452" ht="17.25" customHeight="1" x14ac:dyDescent="0.25"/>
    <row r="453" ht="17.25" customHeight="1" x14ac:dyDescent="0.25"/>
    <row r="454" ht="17.25" customHeight="1" x14ac:dyDescent="0.25"/>
    <row r="455" ht="17.25" customHeight="1" x14ac:dyDescent="0.25"/>
    <row r="456" ht="17.25" customHeight="1" x14ac:dyDescent="0.25"/>
    <row r="457" ht="17.25" customHeight="1" x14ac:dyDescent="0.25"/>
    <row r="458" ht="17.25" customHeight="1" x14ac:dyDescent="0.25"/>
    <row r="459" ht="17.25" customHeight="1" x14ac:dyDescent="0.25"/>
    <row r="460" ht="17.25" customHeight="1" x14ac:dyDescent="0.25"/>
    <row r="461" ht="17.25" customHeight="1" x14ac:dyDescent="0.25"/>
    <row r="462" ht="17.25" customHeight="1" x14ac:dyDescent="0.25"/>
    <row r="463" ht="17.25" customHeight="1" x14ac:dyDescent="0.25"/>
    <row r="464" ht="17.25" customHeight="1" x14ac:dyDescent="0.25"/>
    <row r="465" ht="17.25" customHeight="1" x14ac:dyDescent="0.25"/>
    <row r="466" ht="17.25" customHeight="1" x14ac:dyDescent="0.25"/>
    <row r="467" ht="17.25" customHeight="1" x14ac:dyDescent="0.25"/>
    <row r="468" ht="17.25" customHeight="1" x14ac:dyDescent="0.25"/>
    <row r="469" ht="17.25" customHeight="1" x14ac:dyDescent="0.25"/>
    <row r="470" ht="17.25" customHeight="1" x14ac:dyDescent="0.25"/>
    <row r="471" ht="17.25" customHeight="1" x14ac:dyDescent="0.25"/>
    <row r="472" ht="17.25" customHeight="1" x14ac:dyDescent="0.25"/>
    <row r="473" ht="17.25" customHeight="1" x14ac:dyDescent="0.25"/>
    <row r="474" ht="17.25" customHeight="1" x14ac:dyDescent="0.25"/>
    <row r="475" ht="17.25" customHeight="1" x14ac:dyDescent="0.25"/>
    <row r="476" ht="17.25" customHeight="1" x14ac:dyDescent="0.25"/>
    <row r="477" ht="17.25" customHeight="1" x14ac:dyDescent="0.25"/>
    <row r="478" ht="17.25" customHeight="1" x14ac:dyDescent="0.25"/>
    <row r="479" ht="13.5" customHeight="1" x14ac:dyDescent="0.25"/>
    <row r="480" ht="17.25" customHeight="1" x14ac:dyDescent="0.25"/>
    <row r="481" ht="17.25" customHeight="1" x14ac:dyDescent="0.25"/>
    <row r="482" ht="17.25" customHeight="1" x14ac:dyDescent="0.25"/>
    <row r="483" ht="17.25" customHeight="1" x14ac:dyDescent="0.25"/>
    <row r="484" ht="17.25" customHeight="1" x14ac:dyDescent="0.25"/>
    <row r="485" ht="17.25" customHeight="1" x14ac:dyDescent="0.25"/>
    <row r="486" ht="17.25" customHeight="1" x14ac:dyDescent="0.25"/>
    <row r="487" ht="17.25" customHeight="1" x14ac:dyDescent="0.25"/>
    <row r="488" ht="17.25" customHeight="1" x14ac:dyDescent="0.25"/>
    <row r="489" ht="17.25" customHeight="1" x14ac:dyDescent="0.25"/>
    <row r="490" ht="17.25" customHeight="1" x14ac:dyDescent="0.25"/>
    <row r="491" ht="17.25" customHeight="1" x14ac:dyDescent="0.25"/>
    <row r="492" ht="17.25" customHeight="1" x14ac:dyDescent="0.25"/>
    <row r="493" ht="17.25" customHeight="1" x14ac:dyDescent="0.25"/>
    <row r="494" ht="17.25" customHeight="1" x14ac:dyDescent="0.25"/>
    <row r="495" ht="17.25" customHeight="1" x14ac:dyDescent="0.25"/>
    <row r="496" ht="17.25" customHeight="1" x14ac:dyDescent="0.25"/>
    <row r="497" ht="17.25" customHeight="1" x14ac:dyDescent="0.25"/>
    <row r="498" ht="17.25" customHeight="1" x14ac:dyDescent="0.25"/>
    <row r="499" ht="17.25" customHeight="1" x14ac:dyDescent="0.25"/>
    <row r="500" ht="17.25" customHeight="1" x14ac:dyDescent="0.25"/>
    <row r="501" ht="17.25" customHeight="1" x14ac:dyDescent="0.25"/>
    <row r="502" ht="17.25" customHeight="1" x14ac:dyDescent="0.25"/>
    <row r="503" ht="17.25" customHeight="1" x14ac:dyDescent="0.25"/>
    <row r="504" ht="17.25" customHeight="1" x14ac:dyDescent="0.25"/>
    <row r="505" ht="17.25" customHeight="1" x14ac:dyDescent="0.25"/>
    <row r="506" ht="17.25" customHeight="1" x14ac:dyDescent="0.25"/>
    <row r="507" ht="17.25" customHeight="1" x14ac:dyDescent="0.25"/>
    <row r="508" ht="13.5" customHeight="1" x14ac:dyDescent="0.25"/>
    <row r="509" ht="17.25" customHeight="1" x14ac:dyDescent="0.25"/>
    <row r="510" ht="17.25" customHeight="1" x14ac:dyDescent="0.25"/>
    <row r="511" ht="17.25" customHeight="1" x14ac:dyDescent="0.25"/>
    <row r="512" ht="17.25" customHeight="1" x14ac:dyDescent="0.25"/>
    <row r="513" ht="17.25" customHeight="1" x14ac:dyDescent="0.25"/>
    <row r="514" ht="17.25" customHeight="1" x14ac:dyDescent="0.25"/>
    <row r="515" ht="17.25" customHeight="1" x14ac:dyDescent="0.25"/>
    <row r="516" ht="17.25" customHeight="1" x14ac:dyDescent="0.25"/>
    <row r="517" ht="17.25" customHeight="1" x14ac:dyDescent="0.25"/>
    <row r="518" ht="17.25" customHeight="1" x14ac:dyDescent="0.25"/>
    <row r="519" ht="17.25" customHeight="1" x14ac:dyDescent="0.25"/>
    <row r="520" ht="17.25" customHeight="1" x14ac:dyDescent="0.25"/>
    <row r="521" ht="17.25" customHeight="1" x14ac:dyDescent="0.25"/>
    <row r="522" ht="17.25" customHeight="1" x14ac:dyDescent="0.25"/>
    <row r="523" ht="17.25" customHeight="1" x14ac:dyDescent="0.25"/>
    <row r="524" ht="17.25" customHeight="1" x14ac:dyDescent="0.25"/>
    <row r="525" ht="17.25" customHeight="1" x14ac:dyDescent="0.25"/>
    <row r="526" ht="17.25" customHeight="1" x14ac:dyDescent="0.25"/>
    <row r="527" ht="17.25" customHeight="1" x14ac:dyDescent="0.25"/>
    <row r="528" ht="17.25" customHeight="1" x14ac:dyDescent="0.25"/>
    <row r="529" ht="17.25" customHeight="1" x14ac:dyDescent="0.25"/>
    <row r="530" ht="17.25" customHeight="1" x14ac:dyDescent="0.25"/>
    <row r="531" ht="17.25" customHeight="1" x14ac:dyDescent="0.25"/>
    <row r="532" ht="17.25" customHeight="1" x14ac:dyDescent="0.25"/>
    <row r="533" ht="17.25" customHeight="1" x14ac:dyDescent="0.25"/>
    <row r="534" ht="17.25" customHeight="1" x14ac:dyDescent="0.25"/>
    <row r="535" ht="17.25" customHeight="1" x14ac:dyDescent="0.25"/>
    <row r="536" ht="13.5" customHeight="1" x14ac:dyDescent="0.25"/>
    <row r="537" ht="17.25" customHeight="1" x14ac:dyDescent="0.25"/>
    <row r="538" ht="17.25" customHeight="1" x14ac:dyDescent="0.25"/>
    <row r="539" ht="17.25" customHeight="1" x14ac:dyDescent="0.25"/>
    <row r="540" ht="17.25" customHeight="1" x14ac:dyDescent="0.25"/>
    <row r="541" ht="17.25" customHeight="1" x14ac:dyDescent="0.25"/>
    <row r="542" ht="17.25" customHeight="1" x14ac:dyDescent="0.25"/>
    <row r="543" ht="17.25" customHeight="1" x14ac:dyDescent="0.25"/>
    <row r="544" ht="17.25" customHeight="1" x14ac:dyDescent="0.25"/>
    <row r="545" ht="17.25" customHeight="1" x14ac:dyDescent="0.25"/>
    <row r="546" ht="17.25" customHeight="1" x14ac:dyDescent="0.25"/>
    <row r="547" ht="17.25" customHeight="1" x14ac:dyDescent="0.25"/>
    <row r="548" ht="17.25" customHeight="1" x14ac:dyDescent="0.25"/>
    <row r="549" ht="17.25" customHeight="1" x14ac:dyDescent="0.25"/>
    <row r="550" ht="17.25" customHeight="1" x14ac:dyDescent="0.25"/>
    <row r="551" ht="17.25" customHeight="1" x14ac:dyDescent="0.25"/>
    <row r="552" ht="17.25" customHeight="1" x14ac:dyDescent="0.25"/>
    <row r="553" ht="17.25" customHeight="1" x14ac:dyDescent="0.25"/>
    <row r="554" ht="17.25" customHeight="1" x14ac:dyDescent="0.25"/>
    <row r="555" ht="17.25" customHeight="1" x14ac:dyDescent="0.25"/>
    <row r="556" ht="17.25" customHeight="1" x14ac:dyDescent="0.25"/>
    <row r="557" ht="17.25" customHeight="1" x14ac:dyDescent="0.25"/>
    <row r="558" ht="17.25" customHeight="1" x14ac:dyDescent="0.25"/>
    <row r="559" ht="17.25" customHeight="1" x14ac:dyDescent="0.25"/>
    <row r="560" ht="17.25" customHeight="1" x14ac:dyDescent="0.25"/>
    <row r="561" ht="17.25" customHeight="1" x14ac:dyDescent="0.25"/>
    <row r="562" ht="17.25" customHeight="1" x14ac:dyDescent="0.25"/>
    <row r="563" ht="17.25" customHeight="1" x14ac:dyDescent="0.25"/>
    <row r="564" ht="13.5" customHeight="1" x14ac:dyDescent="0.25"/>
    <row r="565" ht="17.25" customHeight="1" x14ac:dyDescent="0.25"/>
    <row r="566" ht="17.25" customHeight="1" x14ac:dyDescent="0.25"/>
    <row r="567" ht="17.25" customHeight="1" x14ac:dyDescent="0.25"/>
    <row r="568" ht="17.25" customHeight="1" x14ac:dyDescent="0.25"/>
    <row r="569" ht="17.25" customHeight="1" x14ac:dyDescent="0.25"/>
    <row r="570" ht="17.25" customHeight="1" x14ac:dyDescent="0.25"/>
    <row r="571" ht="17.25" customHeight="1" x14ac:dyDescent="0.25"/>
    <row r="572" ht="17.25" customHeight="1" x14ac:dyDescent="0.25"/>
    <row r="573" ht="17.25" customHeight="1" x14ac:dyDescent="0.25"/>
    <row r="574" ht="17.25" customHeight="1" x14ac:dyDescent="0.25"/>
    <row r="575" ht="17.25" customHeight="1" x14ac:dyDescent="0.25"/>
    <row r="576" ht="17.25" customHeight="1" x14ac:dyDescent="0.25"/>
    <row r="577" ht="17.25" customHeight="1" x14ac:dyDescent="0.25"/>
    <row r="578" ht="17.25" customHeight="1" x14ac:dyDescent="0.25"/>
    <row r="579" ht="17.25" customHeight="1" x14ac:dyDescent="0.25"/>
    <row r="580" ht="17.25" customHeight="1" x14ac:dyDescent="0.25"/>
    <row r="581" ht="17.25" customHeight="1" x14ac:dyDescent="0.25"/>
    <row r="582" ht="17.25" customHeight="1" x14ac:dyDescent="0.25"/>
    <row r="583" ht="17.25" customHeight="1" x14ac:dyDescent="0.25"/>
    <row r="584" ht="17.25" customHeight="1" x14ac:dyDescent="0.25"/>
    <row r="585" ht="17.25" customHeight="1" x14ac:dyDescent="0.25"/>
    <row r="586" ht="17.25" customHeight="1" x14ac:dyDescent="0.25"/>
    <row r="587" ht="17.25" customHeight="1" x14ac:dyDescent="0.25"/>
    <row r="588" ht="17.25" customHeight="1" x14ac:dyDescent="0.25"/>
    <row r="589" ht="17.25" customHeight="1" x14ac:dyDescent="0.25"/>
    <row r="590" ht="17.25" customHeight="1" x14ac:dyDescent="0.25"/>
    <row r="591" ht="17.25" customHeight="1" x14ac:dyDescent="0.25"/>
    <row r="592" ht="13.5" customHeight="1" x14ac:dyDescent="0.25"/>
    <row r="593" ht="17.25" customHeight="1" x14ac:dyDescent="0.25"/>
    <row r="594" ht="17.25" customHeight="1" x14ac:dyDescent="0.25"/>
    <row r="595" ht="17.25" customHeight="1" x14ac:dyDescent="0.25"/>
    <row r="596" ht="17.25" customHeight="1" x14ac:dyDescent="0.25"/>
    <row r="597" ht="17.25" customHeight="1" x14ac:dyDescent="0.25"/>
    <row r="598" ht="17.25" customHeight="1" x14ac:dyDescent="0.25"/>
    <row r="599" ht="17.25" customHeight="1" x14ac:dyDescent="0.25"/>
    <row r="600" ht="17.25" customHeight="1" x14ac:dyDescent="0.25"/>
    <row r="601" ht="17.25" customHeight="1" x14ac:dyDescent="0.25"/>
    <row r="602" ht="17.25" customHeight="1" x14ac:dyDescent="0.25"/>
    <row r="603" ht="17.25" customHeight="1" x14ac:dyDescent="0.25"/>
    <row r="604" ht="17.25" customHeight="1" x14ac:dyDescent="0.25"/>
    <row r="605" ht="17.25" customHeight="1" x14ac:dyDescent="0.25"/>
    <row r="606" ht="17.25" customHeight="1" x14ac:dyDescent="0.25"/>
    <row r="607" ht="17.25" customHeight="1" x14ac:dyDescent="0.25"/>
    <row r="608" ht="17.25" customHeight="1" x14ac:dyDescent="0.25"/>
    <row r="609" ht="17.25" customHeight="1" x14ac:dyDescent="0.25"/>
    <row r="610" ht="17.25" customHeight="1" x14ac:dyDescent="0.25"/>
    <row r="611" ht="17.25" customHeight="1" x14ac:dyDescent="0.25"/>
    <row r="612" ht="17.25" customHeight="1" x14ac:dyDescent="0.25"/>
    <row r="613" ht="17.25" customHeight="1" x14ac:dyDescent="0.25"/>
    <row r="614" ht="17.25" customHeight="1" x14ac:dyDescent="0.25"/>
    <row r="615" ht="17.25" customHeight="1" x14ac:dyDescent="0.25"/>
    <row r="616" ht="17.25" customHeight="1" x14ac:dyDescent="0.25"/>
    <row r="617" ht="17.25" customHeight="1" x14ac:dyDescent="0.25"/>
    <row r="618" ht="17.25" customHeight="1" x14ac:dyDescent="0.25"/>
    <row r="619" ht="17.25" customHeight="1" x14ac:dyDescent="0.25"/>
    <row r="620" ht="13.5" customHeight="1" x14ac:dyDescent="0.25"/>
    <row r="621" ht="17.25" customHeight="1" x14ac:dyDescent="0.25"/>
    <row r="622" ht="17.25" customHeight="1" x14ac:dyDescent="0.25"/>
    <row r="623" ht="17.25" customHeight="1" x14ac:dyDescent="0.25"/>
    <row r="624" ht="17.25" customHeight="1" x14ac:dyDescent="0.25"/>
    <row r="625" ht="17.25" customHeight="1" x14ac:dyDescent="0.25"/>
    <row r="626" ht="17.25" customHeight="1" x14ac:dyDescent="0.25"/>
    <row r="627" ht="17.25" customHeight="1" x14ac:dyDescent="0.25"/>
    <row r="628" ht="17.25" customHeight="1" x14ac:dyDescent="0.25"/>
    <row r="629" ht="17.25" customHeight="1" x14ac:dyDescent="0.25"/>
    <row r="630" ht="17.25" customHeight="1" x14ac:dyDescent="0.25"/>
    <row r="631" ht="17.25" customHeight="1" x14ac:dyDescent="0.25"/>
    <row r="632" ht="17.25" customHeight="1" x14ac:dyDescent="0.25"/>
    <row r="633" ht="17.25" customHeight="1" x14ac:dyDescent="0.25"/>
    <row r="634" ht="17.25" customHeight="1" x14ac:dyDescent="0.25"/>
    <row r="635" ht="17.25" customHeight="1" x14ac:dyDescent="0.25"/>
    <row r="636" ht="17.25" customHeight="1" x14ac:dyDescent="0.25"/>
    <row r="637" ht="17.25" customHeight="1" x14ac:dyDescent="0.25"/>
    <row r="638" ht="17.25" customHeight="1" x14ac:dyDescent="0.25"/>
    <row r="639" ht="17.25" customHeight="1" x14ac:dyDescent="0.25"/>
    <row r="640" ht="17.25" customHeight="1" x14ac:dyDescent="0.25"/>
    <row r="641" ht="17.25" customHeight="1" x14ac:dyDescent="0.25"/>
    <row r="642" ht="17.25" customHeight="1" x14ac:dyDescent="0.25"/>
    <row r="643" ht="17.25" customHeight="1" x14ac:dyDescent="0.25"/>
    <row r="644" ht="17.25" customHeight="1" x14ac:dyDescent="0.25"/>
    <row r="645" ht="17.25" customHeight="1" x14ac:dyDescent="0.25"/>
    <row r="646" ht="17.25" customHeight="1" x14ac:dyDescent="0.25"/>
    <row r="647" ht="17.25" customHeight="1" x14ac:dyDescent="0.25"/>
    <row r="648" ht="17.25" customHeight="1" x14ac:dyDescent="0.25"/>
    <row r="649" ht="13.5" customHeight="1" x14ac:dyDescent="0.25"/>
    <row r="650" ht="17.25" customHeight="1" x14ac:dyDescent="0.25"/>
  </sheetData>
  <sortState ref="A2:O136">
    <sortCondition ref="H2:H136"/>
  </sortState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B Huie Jr</dc:creator>
  <cp:lastModifiedBy>usda-soybean</cp:lastModifiedBy>
  <dcterms:created xsi:type="dcterms:W3CDTF">2020-05-29T14:19:09Z</dcterms:created>
  <dcterms:modified xsi:type="dcterms:W3CDTF">2020-12-21T19:14:08Z</dcterms:modified>
</cp:coreProperties>
</file>